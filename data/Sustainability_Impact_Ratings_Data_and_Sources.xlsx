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8d599bc6312a96/1. IIUM onedrive backup/DD OSIC/Rankings/THE/SIR/"/>
    </mc:Choice>
  </mc:AlternateContent>
  <xr:revisionPtr revIDLastSave="14" documentId="8_{2D8A567D-E968-4CB7-A094-ABE221E0658B}" xr6:coauthVersionLast="47" xr6:coauthVersionMax="47" xr10:uidLastSave="{76F19C53-C97E-49D7-918C-9DA6C2A5273F}"/>
  <bookViews>
    <workbookView xWindow="43080" yWindow="2805" windowWidth="24240" windowHeight="13020" xr2:uid="{978E1492-F208-D74F-9E86-938DED369E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2" i="1" l="1"/>
</calcChain>
</file>

<file path=xl/sharedStrings.xml><?xml version="1.0" encoding="utf-8"?>
<sst xmlns="http://schemas.openxmlformats.org/spreadsheetml/2006/main" count="1528" uniqueCount="1051">
  <si>
    <t>SDG</t>
  </si>
  <si>
    <t>SDG name</t>
  </si>
  <si>
    <t>weight of the total score (if used)</t>
  </si>
  <si>
    <t>Metric id</t>
  </si>
  <si>
    <t>Metric name</t>
  </si>
  <si>
    <t>Metric weight (of its SDG)</t>
  </si>
  <si>
    <t>Indicator ID</t>
  </si>
  <si>
    <t>Indicator name</t>
  </si>
  <si>
    <t>Indicator weight (of its SDG)</t>
  </si>
  <si>
    <t>Data source</t>
  </si>
  <si>
    <r>
      <t>Indicator component long name 
[for</t>
    </r>
    <r>
      <rPr>
        <b/>
        <i/>
        <sz val="12"/>
        <color theme="1"/>
        <rFont val="Calibri"/>
        <family val="2"/>
        <scheme val="minor"/>
      </rPr>
      <t xml:space="preserve"> Impact Ranking Dashboard </t>
    </r>
    <r>
      <rPr>
        <b/>
        <sz val="12"/>
        <color theme="1"/>
        <rFont val="Calibri"/>
        <family val="2"/>
        <scheme val="minor"/>
      </rPr>
      <t>product reference]</t>
    </r>
  </si>
  <si>
    <t>max points</t>
  </si>
  <si>
    <t>evidence asked</t>
  </si>
  <si>
    <t>dates asked</t>
  </si>
  <si>
    <t>question format</t>
  </si>
  <si>
    <t>SDG1</t>
  </si>
  <si>
    <t>No Poverty</t>
  </si>
  <si>
    <t>1.1</t>
  </si>
  <si>
    <t>Research on poverty</t>
  </si>
  <si>
    <t>1.1.1</t>
  </si>
  <si>
    <t>Papers co-authored with low or lower-middle income countries</t>
  </si>
  <si>
    <t>bibliometric</t>
  </si>
  <si>
    <t>Proportion of publications co-authored with low income countries</t>
  </si>
  <si>
    <t>1.1.2</t>
  </si>
  <si>
    <t>No poverty: FWCI</t>
  </si>
  <si>
    <t>1.1.3</t>
  </si>
  <si>
    <t>No poverty: publications</t>
  </si>
  <si>
    <t>Proportion of students receiving financial aid to attend university because of poverty</t>
  </si>
  <si>
    <t>1.2.1</t>
  </si>
  <si>
    <t>portal</t>
  </si>
  <si>
    <t>Number of students</t>
  </si>
  <si>
    <t>Number of low income students receiving financial aid</t>
  </si>
  <si>
    <t>Proportion of students receiving financial aid</t>
  </si>
  <si>
    <t>1.3</t>
  </si>
  <si>
    <t>University anti-poverty programmes</t>
  </si>
  <si>
    <t>1.3.1</t>
  </si>
  <si>
    <t>Bottom financial quintile admission target</t>
  </si>
  <si>
    <t>evidence</t>
  </si>
  <si>
    <t>university anti poverty admission targets bottom20 percent</t>
  </si>
  <si>
    <t>yes/no</t>
  </si>
  <si>
    <t>1.3.2</t>
  </si>
  <si>
    <t>Bottom financial quintile student success</t>
  </si>
  <si>
    <t>university anti poverty graduation targets bottom20 percent</t>
  </si>
  <si>
    <t>1.3.3</t>
  </si>
  <si>
    <t>Low-income student support</t>
  </si>
  <si>
    <t>low-income student support</t>
  </si>
  <si>
    <t>pick: free / subsidised</t>
  </si>
  <si>
    <t>1.3.4</t>
  </si>
  <si>
    <t>Bottom financial quintile student support</t>
  </si>
  <si>
    <t>university anti poverty assist successful completion</t>
  </si>
  <si>
    <t>1.3.5</t>
  </si>
  <si>
    <t>Low or lower-middle income countries student support</t>
  </si>
  <si>
    <t>university anti poverty schemes to support poor students</t>
  </si>
  <si>
    <t>1.4</t>
  </si>
  <si>
    <t>Community anti-poverty programmes</t>
  </si>
  <si>
    <t>1.4.1</t>
  </si>
  <si>
    <t>Local start-up assistance</t>
  </si>
  <si>
    <t>local start-up assistance</t>
  </si>
  <si>
    <t>1.4.2</t>
  </si>
  <si>
    <t>Local start-up financial assistance</t>
  </si>
  <si>
    <t>community anti poverty financial assistance start ups</t>
  </si>
  <si>
    <t>1.4.3</t>
  </si>
  <si>
    <t>Programmes for services access</t>
  </si>
  <si>
    <t>programmes for services access</t>
  </si>
  <si>
    <t>pick: directly / indirectly</t>
  </si>
  <si>
    <t>1.4.4</t>
  </si>
  <si>
    <r>
      <t xml:space="preserve">Policy </t>
    </r>
    <r>
      <rPr>
        <sz val="12"/>
        <color theme="1"/>
        <rFont val="Calibri (Body)"/>
      </rPr>
      <t xml:space="preserve">making </t>
    </r>
    <r>
      <rPr>
        <sz val="12"/>
        <color theme="1"/>
        <rFont val="Calibri"/>
        <family val="2"/>
        <scheme val="minor"/>
      </rPr>
      <t>addressing poverty</t>
    </r>
  </si>
  <si>
    <t>policy addressing poverty</t>
  </si>
  <si>
    <t>pick: local / regional / national / global</t>
  </si>
  <si>
    <t>s_2</t>
  </si>
  <si>
    <t>Zero Hunger</t>
  </si>
  <si>
    <t>2.1</t>
  </si>
  <si>
    <t>Research on hunger</t>
  </si>
  <si>
    <t>2.1.1</t>
  </si>
  <si>
    <t>Zero hunger: CiteScore</t>
  </si>
  <si>
    <t>Zero hunger: publications in top journals</t>
  </si>
  <si>
    <t>Zero hunger: publications</t>
  </si>
  <si>
    <t>Zero hunger: % publications in top journals</t>
  </si>
  <si>
    <t>2.1.2</t>
  </si>
  <si>
    <t>Zero hunger: FWCI</t>
  </si>
  <si>
    <t>2.1.3</t>
  </si>
  <si>
    <t>2.2</t>
  </si>
  <si>
    <t>Campus Food Waste</t>
  </si>
  <si>
    <t>2.2.1</t>
  </si>
  <si>
    <t>Campus food waste tracking</t>
  </si>
  <si>
    <t>pick: full/partial</t>
  </si>
  <si>
    <t>2.2.2</t>
  </si>
  <si>
    <t>Campus food waste
Total food waste
Campus population</t>
  </si>
  <si>
    <t>Total food waste</t>
  </si>
  <si>
    <t>Campus population</t>
  </si>
  <si>
    <t>Food waste per person</t>
  </si>
  <si>
    <t>2.3</t>
  </si>
  <si>
    <t>Student Hunger</t>
  </si>
  <si>
    <t>2.3.1</t>
  </si>
  <si>
    <t>Student food insecurity and hunger</t>
  </si>
  <si>
    <t>student hunger programme on food insecurity hunger</t>
  </si>
  <si>
    <t>2.3.2</t>
  </si>
  <si>
    <t>student hunger interventions target hunger among students</t>
  </si>
  <si>
    <t>2.3.3</t>
  </si>
  <si>
    <t>Sustainable food choices on campus</t>
  </si>
  <si>
    <t>sustainable food choices on campus</t>
  </si>
  <si>
    <t>pick: all food outlets / select food outlets</t>
  </si>
  <si>
    <t>2.3.4</t>
  </si>
  <si>
    <t>Healthy and affordable food choices</t>
  </si>
  <si>
    <t>healthy and affordable food choices</t>
  </si>
  <si>
    <t>2.4</t>
  </si>
  <si>
    <t>Proportion of graduates in agriculture and aquaculture including sustainability aspects</t>
  </si>
  <si>
    <t>2.4.1</t>
  </si>
  <si>
    <t>Proportion of graduates in agriculture and aquaculture</t>
  </si>
  <si>
    <t>Number of graduates</t>
  </si>
  <si>
    <t>Number of graduates from a relevant agriculture course</t>
  </si>
  <si>
    <t>Percentage of graduates from agriculture</t>
  </si>
  <si>
    <t>2.5</t>
  </si>
  <si>
    <t>National Hunger</t>
  </si>
  <si>
    <t>2.5.1</t>
  </si>
  <si>
    <t>Access to food security knowledge</t>
  </si>
  <si>
    <t>access to food security knowledge</t>
  </si>
  <si>
    <t>pick: free / paid</t>
  </si>
  <si>
    <t>2.5.2</t>
  </si>
  <si>
    <t>Events for local farmers and food producers</t>
  </si>
  <si>
    <t>events for local farmers and food producers</t>
  </si>
  <si>
    <t>2.5.3</t>
  </si>
  <si>
    <t>University access to local farmers and food producers</t>
  </si>
  <si>
    <t>university access to local farmers and food producers</t>
  </si>
  <si>
    <t>2.5.4</t>
  </si>
  <si>
    <t>Sustainable food purchases</t>
  </si>
  <si>
    <t>national hunger prioritise purchase of products from local source</t>
  </si>
  <si>
    <t>SDG3</t>
  </si>
  <si>
    <t>Good Health and Wellbeing</t>
  </si>
  <si>
    <t>3.1</t>
  </si>
  <si>
    <t>Research on health and well-being</t>
  </si>
  <si>
    <t>3.1.1</t>
  </si>
  <si>
    <t>Good health and well-being: paper views</t>
  </si>
  <si>
    <t>Good health and well-being: views and downloads</t>
  </si>
  <si>
    <t>Good health and well-being: publications</t>
  </si>
  <si>
    <t>Good health and well-being: views and downloads per publication</t>
  </si>
  <si>
    <t>3.1.2</t>
  </si>
  <si>
    <t>Clinical citations</t>
  </si>
  <si>
    <t>3.1.3</t>
  </si>
  <si>
    <t>3.2</t>
  </si>
  <si>
    <t>Number of students graduating in health professions</t>
  </si>
  <si>
    <t>3.2.1</t>
  </si>
  <si>
    <t>Proportion of graduates in health professions</t>
  </si>
  <si>
    <t>Number of graduates in health professions</t>
  </si>
  <si>
    <t>Percentage of graduates from Health</t>
  </si>
  <si>
    <t>3.3</t>
  </si>
  <si>
    <t>Collaborations and health services</t>
  </si>
  <si>
    <t>3.3.1</t>
  </si>
  <si>
    <t>Current collaborations with health institutions</t>
  </si>
  <si>
    <t>current collaborations with health institutions</t>
  </si>
  <si>
    <t>pick: local / national / global collaborations</t>
  </si>
  <si>
    <t>3.3.2</t>
  </si>
  <si>
    <t>Health outreach programmes</t>
  </si>
  <si>
    <t>health outreach programmes</t>
  </si>
  <si>
    <t>pick: local communities / disadvantaged people / Refugee or immigrant communities</t>
  </si>
  <si>
    <t>3.3.3</t>
  </si>
  <si>
    <t>Shared sports facilities</t>
  </si>
  <si>
    <t>shared sports facilities</t>
  </si>
  <si>
    <t xml:space="preserve">pick: with free access /  with free access to some facilities / with charged access </t>
  </si>
  <si>
    <t>3.3.4</t>
  </si>
  <si>
    <t>Free sexual health care for students</t>
  </si>
  <si>
    <t>free sexual health care for students</t>
  </si>
  <si>
    <t>pick: free / charged</t>
  </si>
  <si>
    <t>3.3.5</t>
  </si>
  <si>
    <t>pick: active promotion of good mental health / access to free mental health support / charged to free mental health support</t>
  </si>
  <si>
    <t>3.3.6</t>
  </si>
  <si>
    <t>Smoke-free policy</t>
  </si>
  <si>
    <t>smoke free policy</t>
  </si>
  <si>
    <t>pick: smoke-free campus / designated areas</t>
  </si>
  <si>
    <t>SDG4</t>
  </si>
  <si>
    <t>Quality Education</t>
  </si>
  <si>
    <t>4.1</t>
  </si>
  <si>
    <t>Research on early years and lifelong learning education</t>
  </si>
  <si>
    <t>4.1.1</t>
  </si>
  <si>
    <t>Quality education: paper views</t>
  </si>
  <si>
    <t>Quality education: views and downloads</t>
  </si>
  <si>
    <t>Quality education: publications</t>
  </si>
  <si>
    <t>Quality education: views and downloads per publication</t>
  </si>
  <si>
    <t>4.1.2</t>
  </si>
  <si>
    <t>Quality education: CiteScore</t>
  </si>
  <si>
    <t>Quality education: publications in top journals</t>
  </si>
  <si>
    <t>Quality education: % publications in top journals</t>
  </si>
  <si>
    <t>4.1.3</t>
  </si>
  <si>
    <t>4.2</t>
  </si>
  <si>
    <t xml:space="preserve">Proportion of graduates with teaching qualification </t>
  </si>
  <si>
    <t>4.2.1</t>
  </si>
  <si>
    <t>Proportion of graduates with relevant qualification for teaching</t>
  </si>
  <si>
    <t>Number of graduates with teaching qualification</t>
  </si>
  <si>
    <t>Percentage of graduates with teaching qualifications</t>
  </si>
  <si>
    <t>4.3</t>
  </si>
  <si>
    <t>Lifelong learning measures</t>
  </si>
  <si>
    <t>4.3.1</t>
  </si>
  <si>
    <t>Public resources (lifelong learning)</t>
  </si>
  <si>
    <t>lifelong learning public resource</t>
  </si>
  <si>
    <t xml:space="preserve">pick: Free courses leading to certificate or award / Free access to campus facilities and equipment / Free access to online resources
</t>
  </si>
  <si>
    <t>4.3.2</t>
  </si>
  <si>
    <t>Public events (lifelong learning)</t>
  </si>
  <si>
    <t>lifelong learning public events</t>
  </si>
  <si>
    <t>pick: ad-hock / programmed</t>
  </si>
  <si>
    <t>4.3.3</t>
  </si>
  <si>
    <t>Vocational training events (lifelong learning)</t>
  </si>
  <si>
    <t>lifelong learning vocational training events</t>
  </si>
  <si>
    <t>4.3.4</t>
  </si>
  <si>
    <t>Education outreach activities beyond campus</t>
  </si>
  <si>
    <t>education outreach activities beyond campus</t>
  </si>
  <si>
    <t>4.3.5</t>
  </si>
  <si>
    <t>Lifelong learning access policy</t>
  </si>
  <si>
    <t>lifelong learning access policy</t>
  </si>
  <si>
    <t>4.4</t>
  </si>
  <si>
    <t xml:space="preserve">Proportion of first-generation students   </t>
  </si>
  <si>
    <t>4.4.1</t>
  </si>
  <si>
    <t>Proportion of first generation students</t>
  </si>
  <si>
    <t>Number of students starting degree</t>
  </si>
  <si>
    <t>Number of 1st generation students starting degree</t>
  </si>
  <si>
    <t>Percentage of 1st generation students</t>
  </si>
  <si>
    <t>SDG5</t>
  </si>
  <si>
    <t>Gender Equality</t>
  </si>
  <si>
    <t>5.1</t>
  </si>
  <si>
    <t>Research on gender equality</t>
  </si>
  <si>
    <t>5.1.1</t>
  </si>
  <si>
    <t>5.1.2</t>
  </si>
  <si>
    <t>Gender equality: CiteScore</t>
  </si>
  <si>
    <t>Gender equality: publications in top journals</t>
  </si>
  <si>
    <t>Gender equality: publications</t>
  </si>
  <si>
    <t>Gender equality: % publications in top journals</t>
  </si>
  <si>
    <t>5.1.3</t>
  </si>
  <si>
    <t>5.2</t>
  </si>
  <si>
    <t xml:space="preserve">Proportion of first-generation female students </t>
  </si>
  <si>
    <t>5.2.1</t>
  </si>
  <si>
    <t>Proportion of women first generation</t>
  </si>
  <si>
    <t>Number of women starting degree</t>
  </si>
  <si>
    <t>Number of 1st gen women starting degree</t>
  </si>
  <si>
    <t>Percentage of female 1st gen students</t>
  </si>
  <si>
    <t>5.3</t>
  </si>
  <si>
    <t>Student access measures</t>
  </si>
  <si>
    <t>5.3.1</t>
  </si>
  <si>
    <t>Tracking access measures</t>
  </si>
  <si>
    <t>student access measures track</t>
  </si>
  <si>
    <t>5.3.2</t>
  </si>
  <si>
    <t>Policy for women applications and entry</t>
  </si>
  <si>
    <t>student access measures women application policy</t>
  </si>
  <si>
    <t>5.3.3</t>
  </si>
  <si>
    <t>Women's access schemes</t>
  </si>
  <si>
    <t>womens access schemes</t>
  </si>
  <si>
    <t>pick: mentoring / scholarship / other targeted support</t>
  </si>
  <si>
    <t>5.3.4</t>
  </si>
  <si>
    <t>Women's application in underrepresented subjects</t>
  </si>
  <si>
    <t>women's application in underrepresented subjects</t>
  </si>
  <si>
    <t>pick: through university outreach | through collaboration with other universities and/or community groups and/or government and/or NGOs in regional or national campaigns</t>
  </si>
  <si>
    <t>5.4</t>
  </si>
  <si>
    <t>Proportion of senior female academics</t>
  </si>
  <si>
    <t>5.4.1</t>
  </si>
  <si>
    <t>Number of senior academic staff</t>
  </si>
  <si>
    <t>Number of female senior academic staff</t>
  </si>
  <si>
    <t>Percentage of female senior academics</t>
  </si>
  <si>
    <t>5.5</t>
  </si>
  <si>
    <t xml:space="preserve">Proportion of women receiving degrees </t>
  </si>
  <si>
    <t>5.5.1</t>
  </si>
  <si>
    <t>Proportion of female degrees awarded</t>
  </si>
  <si>
    <t>Number of graduates in STEM</t>
  </si>
  <si>
    <t>Number of graduates in Medicine</t>
  </si>
  <si>
    <t>Number of graduates in Arts, Humanities and Social Sciences</t>
  </si>
  <si>
    <t>Number of female graduates in STEM</t>
  </si>
  <si>
    <t>Number of female graduates in Medicine</t>
  </si>
  <si>
    <t>Number of female graduates in Arts, Humanities and Social Sciences</t>
  </si>
  <si>
    <t>Percentage of female STEM graduates</t>
  </si>
  <si>
    <t>Percentage of female Medicine graduates</t>
  </si>
  <si>
    <t>Percentage of female Arts, Humanities and SoSci graduates</t>
  </si>
  <si>
    <t>5.6</t>
  </si>
  <si>
    <t xml:space="preserve">Women's progress measures </t>
  </si>
  <si>
    <t>5.6.1</t>
  </si>
  <si>
    <t>Policy of non-discrimination against women</t>
  </si>
  <si>
    <t>womens progress measures non discrimination women</t>
  </si>
  <si>
    <t>5.6.2</t>
  </si>
  <si>
    <t>Non-discrimination policies for transgender</t>
  </si>
  <si>
    <t>womens progress measures non discrimination transgender</t>
  </si>
  <si>
    <t>5.6.3</t>
  </si>
  <si>
    <t>5.6.4</t>
  </si>
  <si>
    <t>Childcare facilities for students</t>
  </si>
  <si>
    <t>childcare facilities for students</t>
  </si>
  <si>
    <t>5.6.5</t>
  </si>
  <si>
    <t>Childcare facilities for staff and faculty</t>
  </si>
  <si>
    <t>childcare facilities for staff and faculty</t>
  </si>
  <si>
    <t>5.6.6</t>
  </si>
  <si>
    <t>Women's mentoring schemes</t>
  </si>
  <si>
    <t>womens progress measures womens mentoring schemes</t>
  </si>
  <si>
    <t>5.6.7</t>
  </si>
  <si>
    <t>Track women's graduation rate</t>
  </si>
  <si>
    <t>womens progress measures tracking womens mentoring schemes</t>
  </si>
  <si>
    <t>5.6.8</t>
  </si>
  <si>
    <t>Policies protecting those reporting discrimination</t>
  </si>
  <si>
    <t>womens progress measures protects reporting discrimination</t>
  </si>
  <si>
    <t>SDG6</t>
  </si>
  <si>
    <t>Clean Water and Sanitation</t>
  </si>
  <si>
    <t>6.1</t>
  </si>
  <si>
    <t>Research on water</t>
  </si>
  <si>
    <t>6.1.1</t>
  </si>
  <si>
    <t>Clean water and sanitation: CiteScore</t>
  </si>
  <si>
    <t>Clean water and sanitation: publications in top journals</t>
  </si>
  <si>
    <t>Clean water and sanitation: publications</t>
  </si>
  <si>
    <t>Clean water and sanitation: % publications in top journals</t>
  </si>
  <si>
    <t>6.1.2</t>
  </si>
  <si>
    <t>Clean water and sanitation: FWCI</t>
  </si>
  <si>
    <t>6.1.3</t>
  </si>
  <si>
    <t>6.2</t>
  </si>
  <si>
    <t>Water consumption per person</t>
  </si>
  <si>
    <t>6.2.1</t>
  </si>
  <si>
    <t>Water consumption tracking</t>
  </si>
  <si>
    <t>water consumption tracking</t>
  </si>
  <si>
    <t>6.2.2</t>
  </si>
  <si>
    <t>Total water consumption</t>
  </si>
  <si>
    <t>Water consumption by campus population</t>
  </si>
  <si>
    <t>6.3</t>
  </si>
  <si>
    <t xml:space="preserve">Water usage and care
</t>
  </si>
  <si>
    <t>6.3.1</t>
  </si>
  <si>
    <t>Waste water treatment</t>
  </si>
  <si>
    <t>water usage and care process treat waste water</t>
  </si>
  <si>
    <t>6.3.2</t>
  </si>
  <si>
    <t>Preventing water system pollution</t>
  </si>
  <si>
    <t>water usage and care process prevent polluted water entering water system</t>
  </si>
  <si>
    <t>6.3.3</t>
  </si>
  <si>
    <t>Free drinking water provided</t>
  </si>
  <si>
    <t>water usage and care provision free drinking water</t>
  </si>
  <si>
    <t>6.3.4</t>
  </si>
  <si>
    <t>Water-conscious building standards</t>
  </si>
  <si>
    <t>water usage and care building standards to minimise water use</t>
  </si>
  <si>
    <t>6.3.5</t>
  </si>
  <si>
    <t>Water-conscious planting</t>
  </si>
  <si>
    <t>water usage and care plant landscapes</t>
  </si>
  <si>
    <t>6.4</t>
  </si>
  <si>
    <t>Water reuse</t>
  </si>
  <si>
    <t>6.4.1</t>
  </si>
  <si>
    <t>Water reuse policy</t>
  </si>
  <si>
    <t>water reuse policy</t>
  </si>
  <si>
    <t>6.4.2</t>
  </si>
  <si>
    <t>Water reuse measurement</t>
  </si>
  <si>
    <t>water reuse measure</t>
  </si>
  <si>
    <t>6.5</t>
  </si>
  <si>
    <t>Water in the community</t>
  </si>
  <si>
    <t>6.5.1</t>
  </si>
  <si>
    <t>Water management educational opportunities</t>
  </si>
  <si>
    <t>water management educational opportunities</t>
  </si>
  <si>
    <t>pick: on campus / wider community</t>
  </si>
  <si>
    <t>6.5.3</t>
  </si>
  <si>
    <t>Off-campus water conservation support</t>
  </si>
  <si>
    <t>water in community water conservation off campus</t>
  </si>
  <si>
    <t>6.5.4</t>
  </si>
  <si>
    <t>Sustainable water extraction on campus</t>
  </si>
  <si>
    <t>water in community utilises water extraction technologies</t>
  </si>
  <si>
    <t>6.5.5</t>
  </si>
  <si>
    <t>Cooperation on water security</t>
  </si>
  <si>
    <t>cooperation on water security</t>
  </si>
  <si>
    <t>SDG7</t>
  </si>
  <si>
    <t>Affordable and Clean Energy</t>
  </si>
  <si>
    <t>7.1</t>
  </si>
  <si>
    <t>Research on clean energy</t>
  </si>
  <si>
    <t>7.1.1</t>
  </si>
  <si>
    <t>Affordable and clean energy: CiteScore</t>
  </si>
  <si>
    <t>Affordable and clean energy: publications in top journals</t>
  </si>
  <si>
    <t>Affordable and clean energy: publications</t>
  </si>
  <si>
    <t>Affordable and clean energy: % publications in top journals</t>
  </si>
  <si>
    <t>7.1.2</t>
  </si>
  <si>
    <t>Affordable and clean energy: FWCI</t>
  </si>
  <si>
    <t>7.1.3</t>
  </si>
  <si>
    <t>7.2</t>
  </si>
  <si>
    <t>University measures towards affordable and clean energy</t>
  </si>
  <si>
    <t>7.2.1</t>
  </si>
  <si>
    <t>Energy-efficient renovation and building</t>
  </si>
  <si>
    <t>university measures towards affordable clean energy policy energy efficiency standards</t>
  </si>
  <si>
    <t>7.2.2</t>
  </si>
  <si>
    <t>Upgrade buildings to higher energy efficiency</t>
  </si>
  <si>
    <t>university measures towards affordable clean energy upgrade existing buildings</t>
  </si>
  <si>
    <t>7.2.3</t>
  </si>
  <si>
    <t>Carbon reduction and emission reduction process</t>
  </si>
  <si>
    <t>university measures towards affordable clean energy process carbon management</t>
  </si>
  <si>
    <t>7.2.4</t>
  </si>
  <si>
    <t>Plan to reduce energy consumption</t>
  </si>
  <si>
    <t>university measures towards affordable clean energy energy efficiency plan</t>
  </si>
  <si>
    <t>7.2.5</t>
  </si>
  <si>
    <t>Energy wastage identification</t>
  </si>
  <si>
    <t>university measures towards affordable clean energy energy reviews</t>
  </si>
  <si>
    <t>7.2.6</t>
  </si>
  <si>
    <t>Divestment policy</t>
  </si>
  <si>
    <t>university measures towards affordable clean energy policy divesting investments</t>
  </si>
  <si>
    <t>7.3</t>
  </si>
  <si>
    <t>Energy use density</t>
  </si>
  <si>
    <t>7.3.1</t>
  </si>
  <si>
    <t>Energy usage per sqm</t>
  </si>
  <si>
    <t>Total energy consumption</t>
  </si>
  <si>
    <t>University floor space</t>
  </si>
  <si>
    <t>Total energy comsumption per sqm</t>
  </si>
  <si>
    <t>7.4</t>
  </si>
  <si>
    <t>Energy and the community</t>
  </si>
  <si>
    <t>7.4.1</t>
  </si>
  <si>
    <t>local community outreach for energy efficiency</t>
  </si>
  <si>
    <t>energy and community programmes to learn clean energy</t>
  </si>
  <si>
    <t>7.4.2</t>
  </si>
  <si>
    <t>100% renewable energy pledge</t>
  </si>
  <si>
    <t>energy and community pledge renewable energy</t>
  </si>
  <si>
    <t>7.4.3</t>
  </si>
  <si>
    <t>Energy efficiency services for industry</t>
  </si>
  <si>
    <t>energy efficiency services for industry</t>
  </si>
  <si>
    <t>7.4.4</t>
  </si>
  <si>
    <t>Policy development for clean energy technology</t>
  </si>
  <si>
    <t>policy development for clean energy technology</t>
  </si>
  <si>
    <t>7.4.5</t>
  </si>
  <si>
    <t>Assistance to low-carbon innovation</t>
  </si>
  <si>
    <t>energy and community assistance for start ups</t>
  </si>
  <si>
    <t>SDG8</t>
  </si>
  <si>
    <t>Decent Work and Economic Growth</t>
  </si>
  <si>
    <t>8.1</t>
  </si>
  <si>
    <t>Research on economic growth and employment</t>
  </si>
  <si>
    <t>8.1.1</t>
  </si>
  <si>
    <t>Decent work and economic growth: CiteScore</t>
  </si>
  <si>
    <t>Decent work and economic growth: publications in top journals</t>
  </si>
  <si>
    <t>Decent work and economic growth publications</t>
  </si>
  <si>
    <t>Decent work and economic growth: % publications in top journals</t>
  </si>
  <si>
    <t>8.1.2</t>
  </si>
  <si>
    <t>8.2</t>
  </si>
  <si>
    <t>Employment practice</t>
  </si>
  <si>
    <t>8.2.1</t>
  </si>
  <si>
    <t>Employment practice living wage</t>
  </si>
  <si>
    <t>employment practice living wage</t>
  </si>
  <si>
    <t>8.2.2</t>
  </si>
  <si>
    <t>Employment practice unions</t>
  </si>
  <si>
    <t>employment practice rights</t>
  </si>
  <si>
    <t>8.2.3</t>
  </si>
  <si>
    <t>Employment policy on discrimination</t>
  </si>
  <si>
    <t>employment practice policy on discrimination</t>
  </si>
  <si>
    <t>8.2.4</t>
  </si>
  <si>
    <t>Employment policy modern slavery</t>
  </si>
  <si>
    <t>employment practice commitment</t>
  </si>
  <si>
    <t>8.2.5</t>
  </si>
  <si>
    <t>Employment practice equivalent rights outsourcing</t>
  </si>
  <si>
    <t>employment practice equivalent rights</t>
  </si>
  <si>
    <t>8.2.6</t>
  </si>
  <si>
    <t>Employment policy pay scale equity</t>
  </si>
  <si>
    <t>employment practice policy pay scale</t>
  </si>
  <si>
    <t>8.2.7</t>
  </si>
  <si>
    <t>Tracking pay scale for gender equity</t>
  </si>
  <si>
    <t>employment practice track pay scale</t>
  </si>
  <si>
    <t>8.2.8</t>
  </si>
  <si>
    <t>Employment practice appeal process</t>
  </si>
  <si>
    <t>employment practice appeal process</t>
  </si>
  <si>
    <t>8.3</t>
  </si>
  <si>
    <t xml:space="preserve">Expenditure per employee </t>
  </si>
  <si>
    <t>8.3.1</t>
  </si>
  <si>
    <t>Expenditure per employee</t>
  </si>
  <si>
    <t>Number of employees</t>
  </si>
  <si>
    <t>University expenditure (PPP-adjusted**)</t>
  </si>
  <si>
    <t>Spend per employee (fully adjusted***)</t>
  </si>
  <si>
    <t>8.4</t>
  </si>
  <si>
    <t xml:space="preserve">Proportion of students taking work placements </t>
  </si>
  <si>
    <t>8.4.1</t>
  </si>
  <si>
    <t>Proportion of students taking work placements</t>
  </si>
  <si>
    <t>Number of students on work placement</t>
  </si>
  <si>
    <t>Percentage of students on work placement</t>
  </si>
  <si>
    <t>8.5</t>
  </si>
  <si>
    <t xml:space="preserve">Proportion of employees on secure contracts </t>
  </si>
  <si>
    <t>8.5.1</t>
  </si>
  <si>
    <t>Proportion of employees on secure contracts</t>
  </si>
  <si>
    <t>Number of employees on contracts of over 24 months</t>
  </si>
  <si>
    <t>Percentage of employees on secure contract</t>
  </si>
  <si>
    <t>SDG9</t>
  </si>
  <si>
    <t>Industry, Innovation and Infrastructure</t>
  </si>
  <si>
    <t>9.1</t>
  </si>
  <si>
    <t>Research on industry, innovation and infrastructure</t>
  </si>
  <si>
    <t>9.1.1</t>
  </si>
  <si>
    <t>Industry innovation and infrastructure: publications</t>
  </si>
  <si>
    <t>Industry innovation and infrastracture: publications</t>
  </si>
  <si>
    <t>9.2</t>
  </si>
  <si>
    <t>Patents citing university research</t>
  </si>
  <si>
    <t>9.2.1</t>
  </si>
  <si>
    <t>Number of patents citing research</t>
  </si>
  <si>
    <t>Patents citing universities research</t>
  </si>
  <si>
    <t>9.3</t>
  </si>
  <si>
    <t xml:space="preserve">University spin offs </t>
  </si>
  <si>
    <t>9.3.1</t>
  </si>
  <si>
    <t>Number of university spin offs</t>
  </si>
  <si>
    <t>Number of university spin-offs</t>
  </si>
  <si>
    <t>9.4</t>
  </si>
  <si>
    <t xml:space="preserve">Research income from industry </t>
  </si>
  <si>
    <t>9.4.1</t>
  </si>
  <si>
    <t>Research income per academic staff</t>
  </si>
  <si>
    <t>Research income from industry, STEM (PPP-adjusted**)</t>
  </si>
  <si>
    <t>Research income from industry, Medicine (PPP-adjusted**)</t>
  </si>
  <si>
    <t>Research income from industry, Arts, Humanities and SoSci (PPP-adusted**)</t>
  </si>
  <si>
    <t>Number of academic staff, STEM</t>
  </si>
  <si>
    <t>Number of academic staff, Medicine</t>
  </si>
  <si>
    <t>Number of academic staff, Arts, Humanities and SoSci</t>
  </si>
  <si>
    <t>Research income / aca. Staff, STEM (PPP-adjusted**)</t>
  </si>
  <si>
    <t>Research income / aca. Staff, Medicine (PPP-adjusted**)</t>
  </si>
  <si>
    <t>Research income / aca. Staff, Arts, Humanities and SoSci (PPP-adjusted**)</t>
  </si>
  <si>
    <t>SDG10</t>
  </si>
  <si>
    <t>Reduced Inequalities</t>
  </si>
  <si>
    <t>10.1</t>
  </si>
  <si>
    <t>Research on reduced inequalities</t>
  </si>
  <si>
    <t>10.1.1</t>
  </si>
  <si>
    <t>Reduced inequalities: CiteScore</t>
  </si>
  <si>
    <t>Reduced inequalities: publications in top journals</t>
  </si>
  <si>
    <t>Reduced inequalities: publications</t>
  </si>
  <si>
    <t>Reduced inequalities: % publications in top journals</t>
  </si>
  <si>
    <t>10.1.2</t>
  </si>
  <si>
    <t>Reduced inequalities: FWCI</t>
  </si>
  <si>
    <t>10.1.3</t>
  </si>
  <si>
    <t>10.2</t>
  </si>
  <si>
    <t>First-generation students</t>
  </si>
  <si>
    <t>10.2.1</t>
  </si>
  <si>
    <t>Proportion of first-generation students</t>
  </si>
  <si>
    <t>10.3</t>
  </si>
  <si>
    <t xml:space="preserve">Students from developing countries </t>
  </si>
  <si>
    <t>10.3.1</t>
  </si>
  <si>
    <t>Proportion of international students from developing countries</t>
  </si>
  <si>
    <t>Number of students from developing countries</t>
  </si>
  <si>
    <t>Percentage of students from developing countries</t>
  </si>
  <si>
    <t>10.4</t>
  </si>
  <si>
    <t xml:space="preserve">Proportion of students with disabilities </t>
  </si>
  <si>
    <t>10.4.1</t>
  </si>
  <si>
    <t>Proportion of students with disabilities</t>
  </si>
  <si>
    <t>Number of students with disabilities</t>
  </si>
  <si>
    <t>Percentage of students with disabilities</t>
  </si>
  <si>
    <t>10.5</t>
  </si>
  <si>
    <t xml:space="preserve">Proportion of employees with disabilities </t>
  </si>
  <si>
    <t>10.5.1</t>
  </si>
  <si>
    <t>Proportion of employees with disabilities</t>
  </si>
  <si>
    <t>Number of employees with disability</t>
  </si>
  <si>
    <t>Percentage of employees with disability</t>
  </si>
  <si>
    <t>10.6</t>
  </si>
  <si>
    <t>Measures against discrimination</t>
  </si>
  <si>
    <t>10.6.1</t>
  </si>
  <si>
    <t>Non-discriminatory admissions policy</t>
  </si>
  <si>
    <t>measures against discrimination admission policy non discriminatory</t>
  </si>
  <si>
    <t>10.6.10</t>
  </si>
  <si>
    <t>Disability accomodation policy</t>
  </si>
  <si>
    <t>measures against discrimination reasonable accommodation</t>
  </si>
  <si>
    <t>10.6.2</t>
  </si>
  <si>
    <t>Access to university track underrepresented groups applications</t>
  </si>
  <si>
    <t>measures against discrimination underrepresented groups applications</t>
  </si>
  <si>
    <t>10.6.3</t>
  </si>
  <si>
    <t>Access to university underrepresented groups recruit</t>
  </si>
  <si>
    <t>measures against discrimination underrepresented groups recruit</t>
  </si>
  <si>
    <t>10.6.4</t>
  </si>
  <si>
    <t>Anti-discrimination policies</t>
  </si>
  <si>
    <t>measures against discrimination anti discrimination policies</t>
  </si>
  <si>
    <t>10.6.5</t>
  </si>
  <si>
    <t>University diversity officer</t>
  </si>
  <si>
    <t>measures against discrimination diversity committee</t>
  </si>
  <si>
    <t>10.6.6</t>
  </si>
  <si>
    <t>Support for underrepresented groups</t>
  </si>
  <si>
    <t>measures against discrimination support</t>
  </si>
  <si>
    <t>10.6.7</t>
  </si>
  <si>
    <t>Accessible facilities</t>
  </si>
  <si>
    <t>measures against discrimination accessible facilities disabilities</t>
  </si>
  <si>
    <t>10.6.8</t>
  </si>
  <si>
    <t>Disability support services</t>
  </si>
  <si>
    <t>measures against discrimination support services for people with disabilities</t>
  </si>
  <si>
    <t>10.6.9</t>
  </si>
  <si>
    <t>Disability access scheme</t>
  </si>
  <si>
    <t>disability access scheme</t>
  </si>
  <si>
    <t>pick: mentoring / other targeted support</t>
  </si>
  <si>
    <t>Disability accommodation policy</t>
  </si>
  <si>
    <t>disability accommodation policy</t>
  </si>
  <si>
    <t>SDG11</t>
  </si>
  <si>
    <t>Sustainable Cities and Communities</t>
  </si>
  <si>
    <t>11.1</t>
  </si>
  <si>
    <t>Research on sustainable cities and communities</t>
  </si>
  <si>
    <t>11.1.1</t>
  </si>
  <si>
    <t>Sustainable cities and communities: CiteScore</t>
  </si>
  <si>
    <t>Sustainable cities and communities: publications in top journals</t>
  </si>
  <si>
    <t>Sustainable cities and communities: publications</t>
  </si>
  <si>
    <t>Sustainable cities and communities: % publications in top journals</t>
  </si>
  <si>
    <t>11.1.2</t>
  </si>
  <si>
    <t>Sustainable cities and communities: FWCI</t>
  </si>
  <si>
    <t>11.1.3</t>
  </si>
  <si>
    <t>11.2</t>
  </si>
  <si>
    <t xml:space="preserve">Support of arts and heritage </t>
  </si>
  <si>
    <t>11.2.1</t>
  </si>
  <si>
    <t>Public access to buildings</t>
  </si>
  <si>
    <t>public access to buildings</t>
  </si>
  <si>
    <t>pick: With free access to all significant buildings / Some free access to buildings / Paid access</t>
  </si>
  <si>
    <t>11.2.2</t>
  </si>
  <si>
    <t>Public access to libraries</t>
  </si>
  <si>
    <t>public access to libraries</t>
  </si>
  <si>
    <t>pick: with automatic free access / with access to all after application / access in some circumstances</t>
  </si>
  <si>
    <t>11.2.3</t>
  </si>
  <si>
    <t>Public access to museums</t>
  </si>
  <si>
    <t>public access to museums</t>
  </si>
  <si>
    <t>pick: Permament free access / Access in some circumstances / Paid access</t>
  </si>
  <si>
    <t>11.2.4</t>
  </si>
  <si>
    <t>Public access to green spaces</t>
  </si>
  <si>
    <t>support of arts and heritage public access spaces</t>
  </si>
  <si>
    <t>Pick: Permanent free access to all campus grounds / Occasional free access to all campus grounds / Paid access to campus</t>
  </si>
  <si>
    <t>11.2.5</t>
  </si>
  <si>
    <t>Arts and heritage contribution</t>
  </si>
  <si>
    <t>arts and heritage contribution</t>
  </si>
  <si>
    <t>pick: ad-hoc / ongoing programme</t>
  </si>
  <si>
    <t>11.2.6</t>
  </si>
  <si>
    <t>Record and preserve cultural heritage</t>
  </si>
  <si>
    <t>support of arts and heritage record and preserve</t>
  </si>
  <si>
    <t xml:space="preserve">pick: More than 30 perfomancees / More than 15 perfomances / Ad-hoc only
</t>
  </si>
  <si>
    <t>11.3</t>
  </si>
  <si>
    <t xml:space="preserve">Expenditure on arts and heritage </t>
  </si>
  <si>
    <t>11.3.1</t>
  </si>
  <si>
    <t>Arts and heritage expenditure</t>
  </si>
  <si>
    <t>University expenditure (PPP-adjusted)</t>
  </si>
  <si>
    <t>University expenditure on arts and heritage (PPP-adjusted)</t>
  </si>
  <si>
    <t>Percentage of spend on Arts &amp; Heritage</t>
  </si>
  <si>
    <t>11.4</t>
  </si>
  <si>
    <t>Sustainable practices</t>
  </si>
  <si>
    <t>11.4.1</t>
  </si>
  <si>
    <t>Sustainable practices targets</t>
  </si>
  <si>
    <t>sustainable practices targets</t>
  </si>
  <si>
    <t>11.4.2</t>
  </si>
  <si>
    <t>Promote sustainable commuting</t>
  </si>
  <si>
    <t>sustainable practices actions</t>
  </si>
  <si>
    <t>11.4.3</t>
  </si>
  <si>
    <t>Allow remote working</t>
  </si>
  <si>
    <t>sustainable practices remote working</t>
  </si>
  <si>
    <t>11.4.4</t>
  </si>
  <si>
    <t>Affordable housing for employees</t>
  </si>
  <si>
    <t>sustainable practices housing employees</t>
  </si>
  <si>
    <t>Pick: Evaluate affordable housing / Provide housing / Provide financial aid</t>
  </si>
  <si>
    <t>11.4.5</t>
  </si>
  <si>
    <t>Affordable housing for students</t>
  </si>
  <si>
    <t>sustainable practices housing students</t>
  </si>
  <si>
    <t>11.4.6</t>
  </si>
  <si>
    <t>Pedestrian priority on campus</t>
  </si>
  <si>
    <t>sustainable practices pedestrians</t>
  </si>
  <si>
    <t>11.4.7</t>
  </si>
  <si>
    <t>Local authority collaboration regarding planning and development</t>
  </si>
  <si>
    <t>sustainable practices planning development</t>
  </si>
  <si>
    <t>11.4.8</t>
  </si>
  <si>
    <t>Planning development - new build standards</t>
  </si>
  <si>
    <t>sustainable practices planning development new build standards</t>
  </si>
  <si>
    <t>11.4.9</t>
  </si>
  <si>
    <t>Building on brownfield sites</t>
  </si>
  <si>
    <t>sustainable practices planning development new brownfield builds</t>
  </si>
  <si>
    <t>SDG12</t>
  </si>
  <si>
    <t>Responsible Consumption and Production</t>
  </si>
  <si>
    <t>12.1</t>
  </si>
  <si>
    <t>Research on responsible consumption and production</t>
  </si>
  <si>
    <t>12.1.1</t>
  </si>
  <si>
    <t>Responsible consumption and production: CiteScore</t>
  </si>
  <si>
    <t>Responsible consumption and production: publications in top journals</t>
  </si>
  <si>
    <t>Responsible consumption and production: publications</t>
  </si>
  <si>
    <t>Responsible consumption and production: % publications in top journals</t>
  </si>
  <si>
    <t>12.1.2</t>
  </si>
  <si>
    <t>Responsible consumption and production: FWCI</t>
  </si>
  <si>
    <t>12.1.3</t>
  </si>
  <si>
    <t>12.2</t>
  </si>
  <si>
    <t xml:space="preserve">Operational measures </t>
  </si>
  <si>
    <t>12.2.1</t>
  </si>
  <si>
    <t>Ethical sourcing policy</t>
  </si>
  <si>
    <t>operational measures policy ethical sourcing</t>
  </si>
  <si>
    <t>12.2.3</t>
  </si>
  <si>
    <t>Policy waste disposal - hazardous materials</t>
  </si>
  <si>
    <t>operational measures policy waste disposal hazarous materials</t>
  </si>
  <si>
    <t>12.2.4</t>
  </si>
  <si>
    <t>Policy waste disposal - landfill policy</t>
  </si>
  <si>
    <t>operational measures policy waste disposal landfilled recycled</t>
  </si>
  <si>
    <t>12.2.5</t>
  </si>
  <si>
    <t>Policy for minimisation of plastic use</t>
  </si>
  <si>
    <t>operational measures policy minimisation plastic</t>
  </si>
  <si>
    <t>12.2.6</t>
  </si>
  <si>
    <t>Policy for minimisation of disposable items</t>
  </si>
  <si>
    <t>operational measures policy minimisation disposable items</t>
  </si>
  <si>
    <t>12.2.7</t>
  </si>
  <si>
    <t>Disposable policy: extensions to services</t>
  </si>
  <si>
    <t>operational measures policy extensions services</t>
  </si>
  <si>
    <t>12.2.8</t>
  </si>
  <si>
    <t>Minimisation policies extended to suppliers</t>
  </si>
  <si>
    <t>operational measures policy extensions supplier outsources</t>
  </si>
  <si>
    <t>12.3</t>
  </si>
  <si>
    <t>Proportion of recycled waste</t>
  </si>
  <si>
    <t>12.3.1</t>
  </si>
  <si>
    <t>Waste tracking</t>
  </si>
  <si>
    <t>campus waste tracking</t>
  </si>
  <si>
    <t>12.3.2</t>
  </si>
  <si>
    <t>Proportion of waste recycled</t>
  </si>
  <si>
    <t>Amount of waste generated</t>
  </si>
  <si>
    <t>Amount of waste recycled</t>
  </si>
  <si>
    <t>Percentage of waste recycled</t>
  </si>
  <si>
    <t>12.4</t>
  </si>
  <si>
    <t>Publication of sustainability report</t>
  </si>
  <si>
    <t>12.4.1</t>
  </si>
  <si>
    <t>publication of sustainability report</t>
  </si>
  <si>
    <t>pick: annual / bi-annual / less frequent</t>
  </si>
  <si>
    <t>SDG13</t>
  </si>
  <si>
    <t>Climate Action</t>
  </si>
  <si>
    <t>13.1</t>
  </si>
  <si>
    <t>Research on climate action</t>
  </si>
  <si>
    <t>13.1.1</t>
  </si>
  <si>
    <t>Climate action: CiteScore</t>
  </si>
  <si>
    <t>Climate action: publications in top journals</t>
  </si>
  <si>
    <t>Climate action: publications</t>
  </si>
  <si>
    <t>Climate action: % publications in top journals</t>
  </si>
  <si>
    <t>13.1.2</t>
  </si>
  <si>
    <t>Climate action: FWCI</t>
  </si>
  <si>
    <t>13.1.3</t>
  </si>
  <si>
    <t>13.2</t>
  </si>
  <si>
    <t>Low carbon energy use</t>
  </si>
  <si>
    <t>13.2.1</t>
  </si>
  <si>
    <t>Low-carbon energy tracking</t>
  </si>
  <si>
    <t>low carbon energy tracking</t>
  </si>
  <si>
    <t>13.2.2</t>
  </si>
  <si>
    <t>Low-carbon energy use</t>
  </si>
  <si>
    <t>Total energy used from low-carbon sources</t>
  </si>
  <si>
    <t>Proportion of electricity from low-carbon sources</t>
  </si>
  <si>
    <t>13.3</t>
  </si>
  <si>
    <t>Environmental education measures</t>
  </si>
  <si>
    <t>13.3.1</t>
  </si>
  <si>
    <t>Local education programmes on climate</t>
  </si>
  <si>
    <t>environmental education measures local education</t>
  </si>
  <si>
    <t>13.3.2</t>
  </si>
  <si>
    <t>Climate Action Plan, shared</t>
  </si>
  <si>
    <t>environmental education measures university climate action plan</t>
  </si>
  <si>
    <t>13.3.3</t>
  </si>
  <si>
    <t>Co-operative planning for climate change disasters</t>
  </si>
  <si>
    <t>cooperative planning for climate change disasters planning</t>
  </si>
  <si>
    <t>pick: local / regional</t>
  </si>
  <si>
    <t>13.3.4</t>
  </si>
  <si>
    <t>Inform and support government</t>
  </si>
  <si>
    <t>environmental education measures inform and support</t>
  </si>
  <si>
    <t>13.3.5</t>
  </si>
  <si>
    <t>Environmental education collaborate with NGOs</t>
  </si>
  <si>
    <t>environmental education measures collaborate</t>
  </si>
  <si>
    <t>13.4</t>
  </si>
  <si>
    <t>Commitment to carbon neutral university</t>
  </si>
  <si>
    <t>13.4.1</t>
  </si>
  <si>
    <t>commitment to carbon neutral university</t>
  </si>
  <si>
    <t>pick: scope 1 / scope 1+2  / all scopes (scope 3 partial) / all scopes (full scope 3)</t>
  </si>
  <si>
    <t>13.4.2</t>
  </si>
  <si>
    <t>Carbon neutral: achieve by date</t>
  </si>
  <si>
    <t>carbon neutrality achieve by date</t>
  </si>
  <si>
    <t>target date</t>
  </si>
  <si>
    <t>SDG14</t>
  </si>
  <si>
    <t>Life below Water</t>
  </si>
  <si>
    <t>14.1</t>
  </si>
  <si>
    <t>Research on life below water</t>
  </si>
  <si>
    <t>14.1.1</t>
  </si>
  <si>
    <t>Life below water: CiteScore</t>
  </si>
  <si>
    <t>Life below water: publications in top journals</t>
  </si>
  <si>
    <t>Life below water: publications</t>
  </si>
  <si>
    <t>Life below water: % publications in top journals</t>
  </si>
  <si>
    <t>14.1.2</t>
  </si>
  <si>
    <t>Life below water: FWCI</t>
  </si>
  <si>
    <t>14.1.3</t>
  </si>
  <si>
    <t>14.2</t>
  </si>
  <si>
    <t>Supporting aquatic ecosystems through education</t>
  </si>
  <si>
    <t>14.2.1</t>
  </si>
  <si>
    <t>Fresh-water ecosystems (community outreach)</t>
  </si>
  <si>
    <t>fresh water ecosystems community outreach</t>
  </si>
  <si>
    <t>14.2.2</t>
  </si>
  <si>
    <t>Sustainable fisheries (community outreach)</t>
  </si>
  <si>
    <t>sustainable fisheries community outreach</t>
  </si>
  <si>
    <t>14.2.3</t>
  </si>
  <si>
    <t>Overfishing (community outreach)</t>
  </si>
  <si>
    <t>overfishing community outreach</t>
  </si>
  <si>
    <t>14.3</t>
  </si>
  <si>
    <t>Supporting aquatic ecosystems through action</t>
  </si>
  <si>
    <t>14.3.1</t>
  </si>
  <si>
    <t>Conservation and sustainable utilisation of the oceans (events)</t>
  </si>
  <si>
    <t>supporting aquatic ecosystems through action events promoting conservation</t>
  </si>
  <si>
    <t>14.3.2</t>
  </si>
  <si>
    <t>Food from aquatic ecosystems (policies)</t>
  </si>
  <si>
    <t>supporting aquatic ecosystems through action policy campus food sustainably harvested</t>
  </si>
  <si>
    <t>14.3.3</t>
  </si>
  <si>
    <t>Maintain ecosystems and their biodiversity (direct work)</t>
  </si>
  <si>
    <t>supporting aquatic ecosystems through action maintain existing ecosystems</t>
  </si>
  <si>
    <t>14.3.4</t>
  </si>
  <si>
    <t>Technologies towards aquatic ecosystem damage prevention (direct work)</t>
  </si>
  <si>
    <t>supporting aquatic ecosystems through action prevent damage to aquatic ecosystem</t>
  </si>
  <si>
    <t>14.4</t>
  </si>
  <si>
    <t>Water sensitive waste disposal</t>
  </si>
  <si>
    <t>14.4.1</t>
  </si>
  <si>
    <t>Water discharge guidelines and standards</t>
  </si>
  <si>
    <t>water sensitive waste disposal water quality standards for water discharge</t>
  </si>
  <si>
    <t>14.4.2</t>
  </si>
  <si>
    <t>Action plan to reducing plastic waste</t>
  </si>
  <si>
    <t>water sensitive waste disposal reduce plastic waste on campus</t>
  </si>
  <si>
    <t>14.4.3</t>
  </si>
  <si>
    <t>Reducing marine pollution (policy)</t>
  </si>
  <si>
    <t>water sensitive waste disposal policy preventing marine pollution</t>
  </si>
  <si>
    <t>14.5</t>
  </si>
  <si>
    <t>Maintaining a local ecosystem</t>
  </si>
  <si>
    <t>14.5.1</t>
  </si>
  <si>
    <t>Minimizing alteration of aquatic ecosystems (plan)</t>
  </si>
  <si>
    <t>maintaining local ecosystem plan to minimise alterations</t>
  </si>
  <si>
    <t>14.5.2</t>
  </si>
  <si>
    <t>Monitoring the health of aquatic ecosystems</t>
  </si>
  <si>
    <t>maintaining local ecosystem monitor health</t>
  </si>
  <si>
    <t>14.5.3</t>
  </si>
  <si>
    <t>Programs towards good aquatic stewardship practices</t>
  </si>
  <si>
    <t>programmes towards good aquatic stewardship practices</t>
  </si>
  <si>
    <t>pick: ad-hoc / ongoing</t>
  </si>
  <si>
    <t>14.5.4</t>
  </si>
  <si>
    <t>Collaboration for shared aquatic ecosystems</t>
  </si>
  <si>
    <t>maintaining local ecosystem collaborations to maintain shared ecosystems</t>
  </si>
  <si>
    <t>14.5.5</t>
  </si>
  <si>
    <t>Watershed management strategy</t>
  </si>
  <si>
    <t>maintaining local ecosystem watershed management strategy</t>
  </si>
  <si>
    <t>SDG15</t>
  </si>
  <si>
    <t>Life on Land</t>
  </si>
  <si>
    <t>15.1</t>
  </si>
  <si>
    <t>Research on land ecosystems</t>
  </si>
  <si>
    <t>15.1.1</t>
  </si>
  <si>
    <t>Life on land: CiteScore</t>
  </si>
  <si>
    <t>Life on land: publications in top journals</t>
  </si>
  <si>
    <t>Life on land: publications</t>
  </si>
  <si>
    <t>Life on land: % publications in top journals</t>
  </si>
  <si>
    <t>15.1.2</t>
  </si>
  <si>
    <t>Life on land: FWCI</t>
  </si>
  <si>
    <t>15.1.3</t>
  </si>
  <si>
    <t>15.2</t>
  </si>
  <si>
    <t>Supporting land ecosystems through education</t>
  </si>
  <si>
    <t>15.2.1</t>
  </si>
  <si>
    <t>Events about sustainable use of land</t>
  </si>
  <si>
    <t>supporting land ecosystems through education events promoting conservation of land</t>
  </si>
  <si>
    <t>15.2.2</t>
  </si>
  <si>
    <t>Sustainably farmed food on campus</t>
  </si>
  <si>
    <t>supporting land ecosystems through education policy food sustainably farmed</t>
  </si>
  <si>
    <t>15.2.3</t>
  </si>
  <si>
    <t>Maintain and extend current ecosystems' biodiversity</t>
  </si>
  <si>
    <t>supporting land ecosystems through education maintain existing ecosystems plants animals</t>
  </si>
  <si>
    <t>15.2.4</t>
  </si>
  <si>
    <t>Educational programmes on ecosystems</t>
  </si>
  <si>
    <t>educational programmes on ecosystems</t>
  </si>
  <si>
    <t>15.2.5</t>
  </si>
  <si>
    <t>15.3</t>
  </si>
  <si>
    <t>Supporting land ecosystems through action</t>
  </si>
  <si>
    <t>15.3.1</t>
  </si>
  <si>
    <t>Sustainable use, conservation and restoration of land (policy)</t>
  </si>
  <si>
    <t>supporting land ecosystems through action policy conservation terrestrial ecosystems</t>
  </si>
  <si>
    <t>15.3.2</t>
  </si>
  <si>
    <t>Monitoring IUCN and other conservation species (policies)</t>
  </si>
  <si>
    <t>supporting land ecosystems through action policy to protect iucn red listed species</t>
  </si>
  <si>
    <t>15.3.3</t>
  </si>
  <si>
    <t>Local biodiversity included in planning and development</t>
  </si>
  <si>
    <t>supporting land ecosystems through action policy local biodiversity included into planning process</t>
  </si>
  <si>
    <t>15.3.4</t>
  </si>
  <si>
    <t>Alien species impact reduction (policies)</t>
  </si>
  <si>
    <t>supporting land ecosystems through action policy reduce impact of alien species</t>
  </si>
  <si>
    <t>15.3.5</t>
  </si>
  <si>
    <t>Collaboration for shared land ecosystems</t>
  </si>
  <si>
    <t>supporting land ecosystems through action collaboration to maintain shared land ecosystem</t>
  </si>
  <si>
    <t>15.4</t>
  </si>
  <si>
    <t>Land sensitive waste disposal</t>
  </si>
  <si>
    <t>15.4.1</t>
  </si>
  <si>
    <t>land sensitive waste disposal water quality standards for water discharge</t>
  </si>
  <si>
    <t>15.4.2</t>
  </si>
  <si>
    <t>Policy on plastic waste reduction</t>
  </si>
  <si>
    <t>land sensitive waste disposal policy reducing plastic waste on campus</t>
  </si>
  <si>
    <t>15.4.3</t>
  </si>
  <si>
    <t>Policy on hazardous waste disposal</t>
  </si>
  <si>
    <t>land sensitive waste disposal policy waste disposal hazardous material</t>
  </si>
  <si>
    <t>SDG16</t>
  </si>
  <si>
    <t>Peace, Justice and Strong Institutions</t>
  </si>
  <si>
    <t>16.1</t>
  </si>
  <si>
    <t>Research on peace and justice</t>
  </si>
  <si>
    <t>16.1.1</t>
  </si>
  <si>
    <t>Peace, justice and strong institutions: CiteScore</t>
  </si>
  <si>
    <t>Peace justice and strong institutions: publications in top journals</t>
  </si>
  <si>
    <t>Peace justice and strong institutions: publications</t>
  </si>
  <si>
    <t>Peace justice and strong institutions: % publications in top journals</t>
  </si>
  <si>
    <t>16.1.2</t>
  </si>
  <si>
    <t>Peace, justice and strong institutions: FWCI</t>
  </si>
  <si>
    <t>Peace justice and strong institutions: FWCI</t>
  </si>
  <si>
    <t>16.1.3</t>
  </si>
  <si>
    <t>Peace, justice and strong institutions: publications</t>
  </si>
  <si>
    <t>16.2</t>
  </si>
  <si>
    <t xml:space="preserve">University governance measures </t>
  </si>
  <si>
    <t>16.2.1</t>
  </si>
  <si>
    <t>Elected representation</t>
  </si>
  <si>
    <t>elected representation</t>
  </si>
  <si>
    <t>pick: students (UG+grad) / faculty / non-fac employees</t>
  </si>
  <si>
    <t>16.2.2</t>
  </si>
  <si>
    <t>Students' union</t>
  </si>
  <si>
    <t>university governance measures students union</t>
  </si>
  <si>
    <t>Pick: Union provides governance input to university / Union provides support for students / Union provides social activities</t>
  </si>
  <si>
    <t>16.2.3</t>
  </si>
  <si>
    <t>Identify and engage with local stakeholders</t>
  </si>
  <si>
    <t>university governance measures policies stakeholders</t>
  </si>
  <si>
    <t>16.2.4</t>
  </si>
  <si>
    <t>Participatory bodies for stakeholder engagement</t>
  </si>
  <si>
    <t>university governance measures participatory bodies</t>
  </si>
  <si>
    <t>16.2.5</t>
  </si>
  <si>
    <t>University principles on corruption and bribery</t>
  </si>
  <si>
    <t>university governance measures university principles</t>
  </si>
  <si>
    <t>16.2.6</t>
  </si>
  <si>
    <t>Academic freedom policy</t>
  </si>
  <si>
    <t>university governance measures policy academic freedom</t>
  </si>
  <si>
    <t>pick: Research freedom for senior academics / Research freedom for junior academics / Teaching freedom for senior academics / Teaching freedom for junior academics</t>
  </si>
  <si>
    <t>16.2.7</t>
  </si>
  <si>
    <t>Publish financial data</t>
  </si>
  <si>
    <t>publish financial data</t>
  </si>
  <si>
    <t>16.3</t>
  </si>
  <si>
    <t xml:space="preserve">Working with government </t>
  </si>
  <si>
    <t>16.3.1</t>
  </si>
  <si>
    <t>Provide expert advice to government</t>
  </si>
  <si>
    <t>provide expert advice to government</t>
  </si>
  <si>
    <t>pick: local / regional / national</t>
  </si>
  <si>
    <t>16.3.2</t>
  </si>
  <si>
    <t>Policy- and lawmakers outreach and education</t>
  </si>
  <si>
    <t>working with government outreach</t>
  </si>
  <si>
    <t>16.3.3</t>
  </si>
  <si>
    <t>Participation in government research</t>
  </si>
  <si>
    <t>working with government research</t>
  </si>
  <si>
    <t>16.3.4</t>
  </si>
  <si>
    <t>Neutral platform to discuss issues</t>
  </si>
  <si>
    <t>working with government platform to discuss</t>
  </si>
  <si>
    <t>16.4</t>
  </si>
  <si>
    <t xml:space="preserve">Proportion of graduates in law and civil enforcement </t>
  </si>
  <si>
    <t>16.4.1</t>
  </si>
  <si>
    <t>Proportion of graduates in law</t>
  </si>
  <si>
    <t>Number of graduates from Law</t>
  </si>
  <si>
    <t>Percentage of graduates from Law</t>
  </si>
  <si>
    <t>SDG17</t>
  </si>
  <si>
    <t>Partnership for the Goals</t>
  </si>
  <si>
    <t>17.1</t>
  </si>
  <si>
    <t>Research into partnership for the goals</t>
  </si>
  <si>
    <t>17.1.1</t>
  </si>
  <si>
    <t>Proportion of output co-authored with low-income countries</t>
  </si>
  <si>
    <t>proportion of output coauthored with low-income countries</t>
  </si>
  <si>
    <t>17.1.2</t>
  </si>
  <si>
    <t>Partnership for the goals: publications</t>
  </si>
  <si>
    <t>partnership for the goals publications</t>
  </si>
  <si>
    <t>17.2</t>
  </si>
  <si>
    <t>Relationships to support the goals</t>
  </si>
  <si>
    <t>17.2.1</t>
  </si>
  <si>
    <t>Relationships with NGOs and government for SDG policy</t>
  </si>
  <si>
    <t>relationships to support goal policy development</t>
  </si>
  <si>
    <t>17.2.2</t>
  </si>
  <si>
    <t>Cross sectoral dialogue about SDGs</t>
  </si>
  <si>
    <t>relationships to support goal cross sectoral dialogue</t>
  </si>
  <si>
    <t>17.2.3</t>
  </si>
  <si>
    <t>International collaboration data gathering for SDG</t>
  </si>
  <si>
    <t>relationships to support goal data for sdg</t>
  </si>
  <si>
    <t>17.2.4</t>
  </si>
  <si>
    <t>Collaboration for SDG best practice</t>
  </si>
  <si>
    <t>relationships to support goal best practice</t>
  </si>
  <si>
    <t>17.2.5</t>
  </si>
  <si>
    <t>Collaboration with NGOs for SDGs</t>
  </si>
  <si>
    <t>collaboration with ngos for sdgs</t>
  </si>
  <si>
    <t>pick: student volunteering programmes /  research programmes / development of educational resources</t>
  </si>
  <si>
    <t>17.3</t>
  </si>
  <si>
    <t>Publication of SDG reports</t>
  </si>
  <si>
    <t>17.3.1</t>
  </si>
  <si>
    <t>Publication of SDG report: SDG1</t>
  </si>
  <si>
    <t>publication of sdg1 report</t>
  </si>
  <si>
    <t xml:space="preserve">pick: overall report / separate report </t>
  </si>
  <si>
    <t>17.3.2</t>
  </si>
  <si>
    <t>Publication of SDG report: SDG2</t>
  </si>
  <si>
    <t>publication of sdg2 report</t>
  </si>
  <si>
    <t>17.3.3</t>
  </si>
  <si>
    <t>Publication of SDG report: SDG3</t>
  </si>
  <si>
    <t>publication of sdg3 report</t>
  </si>
  <si>
    <t>17.3.4</t>
  </si>
  <si>
    <t>Publication of SDG report: SDG4</t>
  </si>
  <si>
    <t>publication of sdg4 report</t>
  </si>
  <si>
    <t>17.3.5</t>
  </si>
  <si>
    <t>Publication of SDG report: SDG5</t>
  </si>
  <si>
    <t>publication of sdg5 report</t>
  </si>
  <si>
    <t>17.3.6</t>
  </si>
  <si>
    <t>Publication of SDG report: SDG6</t>
  </si>
  <si>
    <t>publication of sdg6 report</t>
  </si>
  <si>
    <t>17.3.7</t>
  </si>
  <si>
    <t>Publication of SDG report: SDG7</t>
  </si>
  <si>
    <t>publication of sdg7 report</t>
  </si>
  <si>
    <t>17.3.8</t>
  </si>
  <si>
    <t>Publication of SDG report: SDG8</t>
  </si>
  <si>
    <t>publication of sdg8 report</t>
  </si>
  <si>
    <t>17.3.9</t>
  </si>
  <si>
    <t>Publication of SDG report: SDG9</t>
  </si>
  <si>
    <t>publication of sdg9 report</t>
  </si>
  <si>
    <t>17.3.10</t>
  </si>
  <si>
    <t>Publication of SDG report: SDG10</t>
  </si>
  <si>
    <t>publication of sdg10 report</t>
  </si>
  <si>
    <t>17.3.11</t>
  </si>
  <si>
    <t>Publication of SDG report: SDG11</t>
  </si>
  <si>
    <t>publication of sdg11 report</t>
  </si>
  <si>
    <t>17.3.12</t>
  </si>
  <si>
    <t>Publication of SDG report: SDG12</t>
  </si>
  <si>
    <t>publication of sdg12 report</t>
  </si>
  <si>
    <t>17.3.13</t>
  </si>
  <si>
    <t>Publication of SDG report: SDG13</t>
  </si>
  <si>
    <t>publication of sdg13 report</t>
  </si>
  <si>
    <t>17.3.14</t>
  </si>
  <si>
    <t>Publication of SDG report: SDG14</t>
  </si>
  <si>
    <t>publication of sdg14 report</t>
  </si>
  <si>
    <t>17.3.15</t>
  </si>
  <si>
    <t>Publication of SDG report: SDG15</t>
  </si>
  <si>
    <t>publication of sdg15 report</t>
  </si>
  <si>
    <t>17.3.16</t>
  </si>
  <si>
    <t>Publication of SDG report: SDG16</t>
  </si>
  <si>
    <t>publication of sdg16 report</t>
  </si>
  <si>
    <t>17.3.17</t>
  </si>
  <si>
    <t>Publication of SDG report: SDG17</t>
  </si>
  <si>
    <t>publication of sdg17 report</t>
  </si>
  <si>
    <t>17.4</t>
  </si>
  <si>
    <t>Education for the SDGs</t>
  </si>
  <si>
    <t>17.4.1</t>
  </si>
  <si>
    <t>education for sdgs commitment to meaningful education</t>
  </si>
  <si>
    <t>pick: education integrated across full curriculum / mandatory education for all / optional education for all</t>
  </si>
  <si>
    <t>17.4.2</t>
  </si>
  <si>
    <t>Education for SDGs: specific courses on sustainability</t>
  </si>
  <si>
    <t>education for sdgs specific courses on sustainability</t>
  </si>
  <si>
    <t>17.4.3</t>
  </si>
  <si>
    <t>Education for SDGs in the wider community</t>
  </si>
  <si>
    <t>education for sdgs in the wider community</t>
  </si>
  <si>
    <t xml:space="preserve">pick: Alumni / Local community / Displaced people and refugees
</t>
  </si>
  <si>
    <t>Low income students receiving financial aid</t>
  </si>
  <si>
    <t>Proportion of research with female authors</t>
  </si>
  <si>
    <r>
      <t>Education for SDGs</t>
    </r>
    <r>
      <rPr>
        <sz val="12"/>
        <rFont val="Calibri (Body)"/>
      </rPr>
      <t>:</t>
    </r>
    <r>
      <rPr>
        <sz val="12"/>
        <rFont val="Calibri"/>
        <family val="2"/>
        <scheme val="minor"/>
      </rPr>
      <t xml:space="preserve"> commitment </t>
    </r>
    <r>
      <rPr>
        <sz val="12"/>
        <rFont val="Calibri (Body)"/>
      </rPr>
      <t>to</t>
    </r>
    <r>
      <rPr>
        <sz val="12"/>
        <rFont val="Calibri"/>
        <family val="2"/>
        <scheme val="minor"/>
      </rPr>
      <t xml:space="preserve"> meaningful education</t>
    </r>
  </si>
  <si>
    <t>2.3.5</t>
  </si>
  <si>
    <t>Students staff hunger interventions</t>
  </si>
  <si>
    <t>Staff hunger interventions</t>
  </si>
  <si>
    <t>staff hunger interventions target hunger among staff</t>
  </si>
  <si>
    <t>3.3.7</t>
  </si>
  <si>
    <t>Students mental health support</t>
  </si>
  <si>
    <t>mental health support for students</t>
  </si>
  <si>
    <t>mental health support for staff</t>
  </si>
  <si>
    <t>Staff mental health support</t>
  </si>
  <si>
    <t>Maternity policies</t>
  </si>
  <si>
    <t>Paternity policies</t>
  </si>
  <si>
    <t>womens progress measures maternity</t>
  </si>
  <si>
    <t>Mens progress measures paternity</t>
  </si>
  <si>
    <t>5.6.9</t>
  </si>
  <si>
    <t>6.5.6</t>
  </si>
  <si>
    <t>6.5.7</t>
  </si>
  <si>
    <t>Promoting conscious water usage on campus</t>
  </si>
  <si>
    <t>Promoting conscious water usage inwider community</t>
  </si>
  <si>
    <t>promoting conscious water usage on campus</t>
  </si>
  <si>
    <t>promoting conscious water usage in the wider community</t>
  </si>
  <si>
    <t>7.5.1</t>
  </si>
  <si>
    <t>Total energy used</t>
  </si>
  <si>
    <t>Energy used from low-carbon sources</t>
  </si>
  <si>
    <t>8.2.9</t>
  </si>
  <si>
    <t>Employment practice labour rights</t>
  </si>
  <si>
    <t>employment practice labour rights</t>
  </si>
  <si>
    <t>10.6.11</t>
  </si>
  <si>
    <t>Anti-harassment policies</t>
  </si>
  <si>
    <t>measures against harassment anti harassment policies</t>
  </si>
  <si>
    <t>Sustainable management of land for agriculture (educational outreach)</t>
  </si>
  <si>
    <t>Sustainable management of land for tourism (educational outreach)</t>
  </si>
  <si>
    <t>sustainable management of land for agriculture educational outreach</t>
  </si>
  <si>
    <t>sustainable management of land for tourism educational outreach</t>
  </si>
  <si>
    <t>17.4.4</t>
  </si>
  <si>
    <t>Sustainability Literacy</t>
  </si>
  <si>
    <t>evaluation on the students’ ability to learn about sustainability</t>
  </si>
  <si>
    <t>AMAD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</si>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</sst>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  <scheme val="minor"/>
    </font>
    <font>
      <sz val="12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0" fillId="6" borderId="2" xfId="0" applyFill="1" applyBorder="1"/>
    <xf numFmtId="0" fontId="0" fillId="0" borderId="3" xfId="0" applyBorder="1"/>
    <xf numFmtId="0" fontId="0" fillId="0" borderId="4" xfId="0" applyBorder="1"/>
    <xf numFmtId="0" fontId="0" fillId="6" borderId="6" xfId="0" applyFill="1" applyBorder="1"/>
    <xf numFmtId="0" fontId="0" fillId="0" borderId="7" xfId="0" applyBorder="1"/>
    <xf numFmtId="0" fontId="0" fillId="7" borderId="6" xfId="0" applyFill="1" applyBorder="1"/>
    <xf numFmtId="0" fontId="0" fillId="8" borderId="6" xfId="0" applyFill="1" applyBorder="1" applyAlignment="1">
      <alignment vertical="center"/>
    </xf>
    <xf numFmtId="0" fontId="0" fillId="8" borderId="6" xfId="0" applyFill="1" applyBorder="1"/>
    <xf numFmtId="0" fontId="0" fillId="0" borderId="0" xfId="0" applyAlignment="1">
      <alignment wrapText="1"/>
    </xf>
    <xf numFmtId="0" fontId="0" fillId="8" borderId="9" xfId="0" applyFill="1" applyBorder="1" applyAlignment="1">
      <alignment vertical="center"/>
    </xf>
    <xf numFmtId="0" fontId="0" fillId="8" borderId="9" xfId="0" applyFill="1" applyBorder="1"/>
    <xf numFmtId="0" fontId="0" fillId="7" borderId="9" xfId="0" applyFill="1" applyBorder="1"/>
    <xf numFmtId="0" fontId="0" fillId="0" borderId="15" xfId="0" applyBorder="1"/>
    <xf numFmtId="0" fontId="0" fillId="8" borderId="14" xfId="0" applyFill="1" applyBorder="1" applyAlignment="1">
      <alignment vertical="center"/>
    </xf>
    <xf numFmtId="0" fontId="0" fillId="8" borderId="14" xfId="0" applyFill="1" applyBorder="1"/>
    <xf numFmtId="0" fontId="0" fillId="0" borderId="6" xfId="0" applyBorder="1"/>
    <xf numFmtId="0" fontId="0" fillId="6" borderId="13" xfId="0" applyFill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 wrapText="1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2" xfId="0" applyFill="1" applyBorder="1" applyAlignment="1">
      <alignment horizontal="right" vertical="center"/>
    </xf>
    <xf numFmtId="0" fontId="0" fillId="6" borderId="6" xfId="0" applyFill="1" applyBorder="1" applyAlignment="1">
      <alignment horizontal="right" vertical="center"/>
    </xf>
    <xf numFmtId="0" fontId="0" fillId="7" borderId="6" xfId="0" applyFill="1" applyBorder="1" applyAlignment="1">
      <alignment horizontal="left" vertical="center"/>
    </xf>
    <xf numFmtId="0" fontId="0" fillId="7" borderId="6" xfId="0" applyFill="1" applyBorder="1" applyAlignment="1">
      <alignment horizontal="right" vertical="center"/>
    </xf>
    <xf numFmtId="0" fontId="0" fillId="7" borderId="9" xfId="0" applyFill="1" applyBorder="1" applyAlignment="1">
      <alignment horizontal="right" vertical="center"/>
    </xf>
    <xf numFmtId="0" fontId="0" fillId="7" borderId="6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8" borderId="9" xfId="0" applyFill="1" applyBorder="1" applyAlignment="1">
      <alignment horizontal="right" vertical="center"/>
    </xf>
    <xf numFmtId="0" fontId="5" fillId="8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right" vertical="center"/>
    </xf>
    <xf numFmtId="0" fontId="5" fillId="8" borderId="6" xfId="0" applyFont="1" applyFill="1" applyBorder="1"/>
    <xf numFmtId="0" fontId="5" fillId="0" borderId="0" xfId="0" applyFont="1"/>
    <xf numFmtId="0" fontId="6" fillId="8" borderId="8" xfId="0" applyFont="1" applyFill="1" applyBorder="1"/>
    <xf numFmtId="0" fontId="6" fillId="8" borderId="6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wrapText="1"/>
    </xf>
    <xf numFmtId="0" fontId="6" fillId="8" borderId="6" xfId="0" applyFont="1" applyFill="1" applyBorder="1" applyAlignment="1">
      <alignment vertical="center"/>
    </xf>
    <xf numFmtId="0" fontId="6" fillId="8" borderId="0" xfId="0" applyFont="1" applyFill="1" applyAlignment="1">
      <alignment horizontal="right" vertical="center"/>
    </xf>
    <xf numFmtId="0" fontId="6" fillId="8" borderId="6" xfId="0" applyFont="1" applyFill="1" applyBorder="1"/>
    <xf numFmtId="0" fontId="6" fillId="7" borderId="6" xfId="0" applyFont="1" applyFill="1" applyBorder="1"/>
    <xf numFmtId="0" fontId="6" fillId="8" borderId="6" xfId="0" applyFont="1" applyFill="1" applyBorder="1" applyAlignment="1">
      <alignment horizontal="right" vertical="center"/>
    </xf>
    <xf numFmtId="0" fontId="6" fillId="8" borderId="14" xfId="0" applyFont="1" applyFill="1" applyBorder="1" applyAlignment="1">
      <alignment horizontal="left" vertical="center"/>
    </xf>
    <xf numFmtId="0" fontId="6" fillId="8" borderId="14" xfId="0" applyFont="1" applyFill="1" applyBorder="1" applyAlignment="1">
      <alignment horizontal="right" vertical="center"/>
    </xf>
    <xf numFmtId="0" fontId="6" fillId="8" borderId="14" xfId="0" applyFont="1" applyFill="1" applyBorder="1" applyAlignment="1">
      <alignment vertical="center"/>
    </xf>
    <xf numFmtId="0" fontId="6" fillId="8" borderId="14" xfId="0" applyFont="1" applyFill="1" applyBorder="1"/>
    <xf numFmtId="0" fontId="6" fillId="8" borderId="21" xfId="0" applyFont="1" applyFill="1" applyBorder="1"/>
    <xf numFmtId="0" fontId="6" fillId="0" borderId="7" xfId="0" applyFont="1" applyBorder="1"/>
    <xf numFmtId="0" fontId="6" fillId="8" borderId="10" xfId="0" applyFont="1" applyFill="1" applyBorder="1"/>
    <xf numFmtId="0" fontId="6" fillId="0" borderId="4" xfId="0" applyFont="1" applyBorder="1"/>
    <xf numFmtId="0" fontId="6" fillId="0" borderId="16" xfId="0" applyFont="1" applyBorder="1"/>
    <xf numFmtId="0" fontId="6" fillId="0" borderId="0" xfId="0" applyFont="1"/>
    <xf numFmtId="0" fontId="6" fillId="0" borderId="8" xfId="0" applyFont="1" applyBorder="1"/>
    <xf numFmtId="0" fontId="6" fillId="8" borderId="21" xfId="0" applyFont="1" applyFill="1" applyBorder="1" applyAlignment="1">
      <alignment wrapText="1"/>
    </xf>
    <xf numFmtId="0" fontId="6" fillId="8" borderId="10" xfId="0" applyFont="1" applyFill="1" applyBorder="1" applyAlignment="1">
      <alignment wrapText="1"/>
    </xf>
    <xf numFmtId="0" fontId="6" fillId="8" borderId="9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6" fillId="8" borderId="9" xfId="0" applyFont="1" applyFill="1" applyBorder="1" applyAlignment="1">
      <alignment vertical="center"/>
    </xf>
    <xf numFmtId="0" fontId="6" fillId="8" borderId="9" xfId="0" applyFont="1" applyFill="1" applyBorder="1"/>
    <xf numFmtId="0" fontId="6" fillId="6" borderId="2" xfId="0" applyFont="1" applyFill="1" applyBorder="1"/>
    <xf numFmtId="0" fontId="0" fillId="8" borderId="14" xfId="0" applyFill="1" applyBorder="1" applyAlignment="1">
      <alignment horizontal="right" vertical="center"/>
    </xf>
    <xf numFmtId="0" fontId="0" fillId="8" borderId="14" xfId="0" applyFill="1" applyBorder="1" applyAlignment="1">
      <alignment horizontal="left" vertical="center"/>
    </xf>
    <xf numFmtId="0" fontId="0" fillId="7" borderId="14" xfId="0" applyFill="1" applyBorder="1"/>
    <xf numFmtId="0" fontId="0" fillId="7" borderId="9" xfId="0" applyFill="1" applyBorder="1" applyAlignment="1">
      <alignment wrapText="1"/>
    </xf>
    <xf numFmtId="0" fontId="6" fillId="8" borderId="9" xfId="0" applyFont="1" applyFill="1" applyBorder="1" applyAlignment="1">
      <alignment horizontal="right" vertical="center"/>
    </xf>
    <xf numFmtId="0" fontId="2" fillId="8" borderId="6" xfId="0" applyFont="1" applyFill="1" applyBorder="1"/>
    <xf numFmtId="0" fontId="0" fillId="6" borderId="2" xfId="0" applyFill="1" applyBorder="1" applyAlignment="1">
      <alignment horizontal="right" vertical="center"/>
    </xf>
    <xf numFmtId="0" fontId="0" fillId="6" borderId="6" xfId="0" applyFill="1" applyBorder="1" applyAlignment="1">
      <alignment horizontal="right" vertical="center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horizontal="right" vertical="center"/>
    </xf>
    <xf numFmtId="0" fontId="0" fillId="7" borderId="14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left" vertical="center"/>
    </xf>
    <xf numFmtId="0" fontId="0" fillId="7" borderId="6" xfId="0" applyFill="1" applyBorder="1" applyAlignment="1">
      <alignment horizontal="right" vertical="center"/>
    </xf>
    <xf numFmtId="0" fontId="0" fillId="7" borderId="9" xfId="0" applyFill="1" applyBorder="1" applyAlignment="1">
      <alignment horizontal="right" vertical="center"/>
    </xf>
    <xf numFmtId="0" fontId="0" fillId="7" borderId="6" xfId="0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8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8" fillId="8" borderId="14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left" vertical="center"/>
    </xf>
    <xf numFmtId="0" fontId="8" fillId="8" borderId="22" xfId="0" applyFont="1" applyFill="1" applyBorder="1" applyAlignment="1">
      <alignment horizontal="left" vertical="center"/>
    </xf>
    <xf numFmtId="0" fontId="0" fillId="8" borderId="14" xfId="0" applyFill="1" applyBorder="1" applyAlignment="1">
      <alignment horizontal="right" vertical="center"/>
    </xf>
    <xf numFmtId="0" fontId="0" fillId="8" borderId="12" xfId="0" applyFill="1" applyBorder="1" applyAlignment="1">
      <alignment horizontal="right" vertical="center"/>
    </xf>
    <xf numFmtId="0" fontId="0" fillId="8" borderId="22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6" fillId="6" borderId="2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0" fillId="6" borderId="13" xfId="0" applyFill="1" applyBorder="1" applyAlignment="1">
      <alignment horizontal="right" vertical="center"/>
    </xf>
    <xf numFmtId="0" fontId="0" fillId="6" borderId="13" xfId="0" applyFill="1" applyBorder="1" applyAlignment="1">
      <alignment vertical="center"/>
    </xf>
    <xf numFmtId="0" fontId="0" fillId="6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right" vertic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8" borderId="9" xfId="0" applyFill="1" applyBorder="1" applyAlignment="1">
      <alignment horizontal="right" vertical="center"/>
    </xf>
    <xf numFmtId="0" fontId="6" fillId="7" borderId="14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0" fillId="6" borderId="11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6" fillId="8" borderId="6" xfId="0" applyFont="1" applyFill="1" applyBorder="1" applyAlignment="1">
      <alignment horizontal="left" vertical="center"/>
    </xf>
    <xf numFmtId="0" fontId="6" fillId="8" borderId="14" xfId="0" applyFont="1" applyFill="1" applyBorder="1" applyAlignment="1">
      <alignment horizontal="left" vertical="center"/>
    </xf>
    <xf numFmtId="0" fontId="6" fillId="8" borderId="14" xfId="0" applyFont="1" applyFill="1" applyBorder="1" applyAlignment="1">
      <alignment horizontal="right" vertical="center"/>
    </xf>
    <xf numFmtId="0" fontId="6" fillId="7" borderId="14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0" fillId="8" borderId="14" xfId="0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7" fillId="7" borderId="6" xfId="0" applyFont="1" applyFill="1" applyBorder="1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right" vertical="center"/>
    </xf>
    <xf numFmtId="0" fontId="0" fillId="6" borderId="12" xfId="0" applyFill="1" applyBorder="1" applyAlignment="1">
      <alignment horizontal="right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right" vertical="center"/>
    </xf>
    <xf numFmtId="0" fontId="0" fillId="7" borderId="13" xfId="0" applyFill="1" applyBorder="1" applyAlignment="1">
      <alignment horizontal="left" vertical="center"/>
    </xf>
    <xf numFmtId="0" fontId="7" fillId="7" borderId="14" xfId="0" applyFont="1" applyFill="1" applyBorder="1" applyAlignment="1">
      <alignment horizontal="left" vertical="center" wrapText="1"/>
    </xf>
    <xf numFmtId="0" fontId="0" fillId="7" borderId="14" xfId="0" applyFill="1" applyBorder="1" applyAlignment="1">
      <alignment horizontal="right" vertical="center"/>
    </xf>
    <xf numFmtId="0" fontId="0" fillId="7" borderId="12" xfId="0" applyFill="1" applyBorder="1" applyAlignment="1">
      <alignment horizontal="right" vertical="center"/>
    </xf>
    <xf numFmtId="0" fontId="0" fillId="7" borderId="13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44A5-A6D2-0F4E-965B-7B99ED9990E6}">
  <dimension ref="A1:P351"/>
  <sheetViews>
    <sheetView tabSelected="1" topLeftCell="F1" zoomScale="70" zoomScaleNormal="70" workbookViewId="0">
      <selection activeCell="L5" sqref="L5"/>
    </sheetView>
  </sheetViews>
  <sheetFormatPr defaultColWidth="11" defaultRowHeight="15.75"/>
  <cols>
    <col min="1" max="1" width="10.8125" style="29"/>
    <col min="2" max="2" width="18.5" style="30" customWidth="1"/>
    <col min="3" max="3" width="11.8125" style="31" customWidth="1"/>
    <col min="4" max="4" width="10.8125" style="32"/>
    <col min="5" max="5" width="43.5625" style="33" customWidth="1"/>
    <col min="6" max="6" width="10.8125" style="31"/>
    <col min="7" max="7" width="10.8125" style="29"/>
    <col min="8" max="8" width="57.5" style="33" customWidth="1"/>
    <col min="9" max="9" width="10.8125" style="31"/>
    <col min="10" max="10" width="14.5" style="29" customWidth="1"/>
    <col min="11" max="11" width="59.5625" customWidth="1"/>
    <col min="15" max="15" width="46" customWidth="1"/>
    <col min="16" max="16" width="68.5" customWidth="1"/>
  </cols>
  <sheetData>
    <row r="1" spans="1:16" s="11" customFormat="1" ht="59.2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4" t="s">
        <v>5</v>
      </c>
      <c r="G1" s="6" t="s">
        <v>6</v>
      </c>
      <c r="H1" s="7" t="s">
        <v>7</v>
      </c>
      <c r="I1" s="8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10" t="s">
        <v>14</v>
      </c>
    </row>
    <row r="2" spans="1:16">
      <c r="A2" s="105" t="s">
        <v>15</v>
      </c>
      <c r="B2" s="109" t="s">
        <v>16</v>
      </c>
      <c r="C2" s="113">
        <v>0.26</v>
      </c>
      <c r="D2" s="126" t="s">
        <v>17</v>
      </c>
      <c r="E2" s="128" t="s">
        <v>18</v>
      </c>
      <c r="F2" s="91">
        <v>0.27</v>
      </c>
      <c r="G2" s="49" t="s">
        <v>19</v>
      </c>
      <c r="H2" s="39" t="s">
        <v>20</v>
      </c>
      <c r="I2" s="41">
        <v>7.0000000000000007E-2</v>
      </c>
      <c r="J2" s="49" t="s">
        <v>21</v>
      </c>
      <c r="K2" s="12" t="s">
        <v>22</v>
      </c>
      <c r="L2" s="13"/>
      <c r="M2" s="13"/>
      <c r="N2" s="13"/>
      <c r="O2" s="14"/>
    </row>
    <row r="3" spans="1:16">
      <c r="A3" s="106"/>
      <c r="B3" s="110"/>
      <c r="C3" s="114"/>
      <c r="D3" s="127"/>
      <c r="E3" s="129"/>
      <c r="F3" s="92"/>
      <c r="G3" s="50" t="s">
        <v>23</v>
      </c>
      <c r="H3" s="40" t="s">
        <v>24</v>
      </c>
      <c r="I3" s="42">
        <v>0.1</v>
      </c>
      <c r="J3" s="50" t="s">
        <v>21</v>
      </c>
      <c r="K3" s="15" t="s">
        <v>24</v>
      </c>
      <c r="O3" s="16"/>
    </row>
    <row r="4" spans="1:16">
      <c r="A4" s="106"/>
      <c r="B4" s="110"/>
      <c r="C4" s="114"/>
      <c r="D4" s="127"/>
      <c r="E4" s="129"/>
      <c r="F4" s="92"/>
      <c r="G4" s="50" t="s">
        <v>25</v>
      </c>
      <c r="H4" s="40" t="s">
        <v>26</v>
      </c>
      <c r="I4" s="42">
        <v>0.1</v>
      </c>
      <c r="J4" s="50" t="s">
        <v>21</v>
      </c>
      <c r="K4" s="15" t="s">
        <v>26</v>
      </c>
      <c r="O4" s="16"/>
    </row>
    <row r="5" spans="1:16">
      <c r="A5" s="106"/>
      <c r="B5" s="110"/>
      <c r="C5" s="114"/>
      <c r="D5" s="130">
        <v>1.2</v>
      </c>
      <c r="E5" s="132" t="s">
        <v>27</v>
      </c>
      <c r="F5" s="101">
        <v>0.27</v>
      </c>
      <c r="G5" s="103" t="s">
        <v>28</v>
      </c>
      <c r="H5" s="170" t="s">
        <v>1010</v>
      </c>
      <c r="I5" s="101">
        <v>0.27</v>
      </c>
      <c r="J5" s="103" t="s">
        <v>29</v>
      </c>
      <c r="K5" s="17" t="s">
        <v>30</v>
      </c>
      <c r="O5" s="71"/>
    </row>
    <row r="6" spans="1:16">
      <c r="A6" s="106"/>
      <c r="B6" s="110"/>
      <c r="C6" s="114"/>
      <c r="D6" s="130"/>
      <c r="E6" s="132"/>
      <c r="F6" s="101"/>
      <c r="G6" s="103"/>
      <c r="H6" s="99"/>
      <c r="I6" s="101"/>
      <c r="J6" s="103"/>
      <c r="K6" s="17" t="s">
        <v>31</v>
      </c>
      <c r="O6" s="71"/>
    </row>
    <row r="7" spans="1:16">
      <c r="A7" s="106"/>
      <c r="B7" s="110"/>
      <c r="C7" s="114"/>
      <c r="D7" s="130"/>
      <c r="E7" s="132"/>
      <c r="F7" s="101"/>
      <c r="G7" s="103"/>
      <c r="H7" s="99"/>
      <c r="I7" s="101"/>
      <c r="J7" s="103"/>
      <c r="K7" s="17" t="s">
        <v>32</v>
      </c>
      <c r="O7" s="71"/>
    </row>
    <row r="8" spans="1:16">
      <c r="A8" s="106"/>
      <c r="B8" s="110"/>
      <c r="C8" s="114"/>
      <c r="D8" s="93" t="s">
        <v>33</v>
      </c>
      <c r="E8" s="94" t="s">
        <v>34</v>
      </c>
      <c r="F8" s="95">
        <v>0.23</v>
      </c>
      <c r="G8" s="18" t="s">
        <v>35</v>
      </c>
      <c r="H8" s="35" t="s">
        <v>36</v>
      </c>
      <c r="I8" s="36">
        <v>4.5999999999999999E-2</v>
      </c>
      <c r="J8" s="18" t="s">
        <v>37</v>
      </c>
      <c r="K8" s="19" t="s">
        <v>38</v>
      </c>
      <c r="L8" s="19">
        <v>3</v>
      </c>
      <c r="M8" s="19" t="b">
        <v>1</v>
      </c>
      <c r="N8" s="19" t="b">
        <v>0</v>
      </c>
      <c r="O8" s="58" t="s">
        <v>39</v>
      </c>
    </row>
    <row r="9" spans="1:16">
      <c r="A9" s="106"/>
      <c r="B9" s="110"/>
      <c r="C9" s="114"/>
      <c r="D9" s="93"/>
      <c r="E9" s="94"/>
      <c r="F9" s="95"/>
      <c r="G9" s="18" t="s">
        <v>40</v>
      </c>
      <c r="H9" s="35" t="s">
        <v>41</v>
      </c>
      <c r="I9" s="36">
        <v>4.5999999999999999E-2</v>
      </c>
      <c r="J9" s="18" t="s">
        <v>37</v>
      </c>
      <c r="K9" s="19" t="s">
        <v>42</v>
      </c>
      <c r="L9" s="19">
        <v>3</v>
      </c>
      <c r="M9" s="19" t="b">
        <v>1</v>
      </c>
      <c r="N9" s="19" t="b">
        <v>0</v>
      </c>
      <c r="O9" s="58" t="s">
        <v>39</v>
      </c>
    </row>
    <row r="10" spans="1:16">
      <c r="A10" s="106"/>
      <c r="B10" s="110"/>
      <c r="C10" s="114"/>
      <c r="D10" s="93"/>
      <c r="E10" s="94"/>
      <c r="F10" s="95"/>
      <c r="G10" s="18" t="s">
        <v>43</v>
      </c>
      <c r="H10" s="35" t="s">
        <v>44</v>
      </c>
      <c r="I10" s="36">
        <v>4.5999999999999999E-2</v>
      </c>
      <c r="J10" s="18" t="s">
        <v>37</v>
      </c>
      <c r="K10" s="19" t="s">
        <v>45</v>
      </c>
      <c r="L10" s="19">
        <v>3</v>
      </c>
      <c r="M10" s="19" t="b">
        <v>1</v>
      </c>
      <c r="N10" s="19" t="b">
        <v>0</v>
      </c>
      <c r="O10" s="58" t="s">
        <v>46</v>
      </c>
      <c r="P10" s="20"/>
    </row>
    <row r="11" spans="1:16">
      <c r="A11" s="106"/>
      <c r="B11" s="110"/>
      <c r="C11" s="114"/>
      <c r="D11" s="93"/>
      <c r="E11" s="94"/>
      <c r="F11" s="95"/>
      <c r="G11" s="18" t="s">
        <v>47</v>
      </c>
      <c r="H11" s="35" t="s">
        <v>48</v>
      </c>
      <c r="I11" s="36">
        <v>4.5999999999999999E-2</v>
      </c>
      <c r="J11" s="18" t="s">
        <v>37</v>
      </c>
      <c r="K11" s="19" t="s">
        <v>49</v>
      </c>
      <c r="L11" s="19">
        <v>3</v>
      </c>
      <c r="M11" s="19" t="b">
        <v>1</v>
      </c>
      <c r="N11" s="19" t="b">
        <v>0</v>
      </c>
      <c r="O11" s="58" t="s">
        <v>39</v>
      </c>
    </row>
    <row r="12" spans="1:16">
      <c r="A12" s="106"/>
      <c r="B12" s="110"/>
      <c r="C12" s="114"/>
      <c r="D12" s="93"/>
      <c r="E12" s="94"/>
      <c r="F12" s="95"/>
      <c r="G12" s="18" t="s">
        <v>50</v>
      </c>
      <c r="H12" s="35" t="s">
        <v>51</v>
      </c>
      <c r="I12" s="36">
        <v>4.5999999999999999E-2</v>
      </c>
      <c r="J12" s="18" t="s">
        <v>37</v>
      </c>
      <c r="K12" s="19" t="s">
        <v>52</v>
      </c>
      <c r="L12" s="19">
        <v>3</v>
      </c>
      <c r="M12" s="19" t="b">
        <v>1</v>
      </c>
      <c r="N12" s="19" t="b">
        <v>0</v>
      </c>
      <c r="O12" s="58" t="s">
        <v>39</v>
      </c>
    </row>
    <row r="13" spans="1:16">
      <c r="A13" s="106"/>
      <c r="B13" s="110"/>
      <c r="C13" s="114"/>
      <c r="D13" s="93" t="s">
        <v>53</v>
      </c>
      <c r="E13" s="94" t="s">
        <v>54</v>
      </c>
      <c r="F13" s="95">
        <v>0.23</v>
      </c>
      <c r="G13" s="18" t="s">
        <v>55</v>
      </c>
      <c r="H13" s="35" t="s">
        <v>56</v>
      </c>
      <c r="I13" s="36">
        <v>5.7500000000000002E-2</v>
      </c>
      <c r="J13" s="18" t="s">
        <v>37</v>
      </c>
      <c r="K13" s="19" t="s">
        <v>57</v>
      </c>
      <c r="L13" s="19">
        <v>3</v>
      </c>
      <c r="M13" s="19" t="b">
        <v>1</v>
      </c>
      <c r="N13" s="19" t="b">
        <v>0</v>
      </c>
      <c r="O13" s="58" t="s">
        <v>46</v>
      </c>
    </row>
    <row r="14" spans="1:16">
      <c r="A14" s="106"/>
      <c r="B14" s="110"/>
      <c r="C14" s="114"/>
      <c r="D14" s="93"/>
      <c r="E14" s="94"/>
      <c r="F14" s="95"/>
      <c r="G14" s="18" t="s">
        <v>58</v>
      </c>
      <c r="H14" s="35" t="s">
        <v>59</v>
      </c>
      <c r="I14" s="36">
        <v>5.7500000000000002E-2</v>
      </c>
      <c r="J14" s="18" t="s">
        <v>37</v>
      </c>
      <c r="K14" s="19" t="s">
        <v>60</v>
      </c>
      <c r="L14" s="19">
        <v>3</v>
      </c>
      <c r="M14" s="19" t="b">
        <v>1</v>
      </c>
      <c r="N14" s="19" t="b">
        <v>0</v>
      </c>
      <c r="O14" s="58" t="s">
        <v>39</v>
      </c>
    </row>
    <row r="15" spans="1:16">
      <c r="A15" s="106"/>
      <c r="B15" s="110"/>
      <c r="C15" s="114"/>
      <c r="D15" s="93"/>
      <c r="E15" s="94"/>
      <c r="F15" s="95"/>
      <c r="G15" s="18" t="s">
        <v>61</v>
      </c>
      <c r="H15" s="35" t="s">
        <v>62</v>
      </c>
      <c r="I15" s="36">
        <v>5.7500000000000002E-2</v>
      </c>
      <c r="J15" s="18" t="s">
        <v>37</v>
      </c>
      <c r="K15" s="19" t="s">
        <v>63</v>
      </c>
      <c r="L15" s="19">
        <v>3</v>
      </c>
      <c r="M15" s="19" t="b">
        <v>1</v>
      </c>
      <c r="N15" s="19" t="b">
        <v>0</v>
      </c>
      <c r="O15" s="58" t="s">
        <v>64</v>
      </c>
    </row>
    <row r="16" spans="1:16" ht="16.149999999999999" thickBot="1">
      <c r="A16" s="108"/>
      <c r="B16" s="112"/>
      <c r="C16" s="116"/>
      <c r="D16" s="146"/>
      <c r="E16" s="147"/>
      <c r="F16" s="148"/>
      <c r="G16" s="21" t="s">
        <v>65</v>
      </c>
      <c r="H16" s="52" t="s">
        <v>66</v>
      </c>
      <c r="I16" s="53">
        <v>5.7500000000000002E-2</v>
      </c>
      <c r="J16" s="21" t="s">
        <v>37</v>
      </c>
      <c r="K16" s="22" t="s">
        <v>67</v>
      </c>
      <c r="L16" s="22">
        <v>3</v>
      </c>
      <c r="M16" s="22" t="b">
        <v>1</v>
      </c>
      <c r="N16" s="22" t="b">
        <v>0</v>
      </c>
      <c r="O16" s="72" t="s">
        <v>68</v>
      </c>
    </row>
    <row r="17" spans="1:16">
      <c r="A17" s="105" t="s">
        <v>69</v>
      </c>
      <c r="B17" s="109" t="s">
        <v>70</v>
      </c>
      <c r="C17" s="113">
        <v>0.26</v>
      </c>
      <c r="D17" s="126" t="s">
        <v>71</v>
      </c>
      <c r="E17" s="128" t="s">
        <v>72</v>
      </c>
      <c r="F17" s="91">
        <v>0.27</v>
      </c>
      <c r="G17" s="134" t="s">
        <v>73</v>
      </c>
      <c r="H17" s="128" t="s">
        <v>74</v>
      </c>
      <c r="I17" s="91">
        <v>0.1</v>
      </c>
      <c r="J17" s="179" t="s">
        <v>21</v>
      </c>
      <c r="K17" s="12" t="s">
        <v>75</v>
      </c>
      <c r="L17" s="13"/>
      <c r="M17" s="13"/>
      <c r="N17" s="13"/>
      <c r="O17" s="73"/>
    </row>
    <row r="18" spans="1:16">
      <c r="A18" s="106"/>
      <c r="B18" s="110"/>
      <c r="C18" s="114"/>
      <c r="D18" s="127"/>
      <c r="E18" s="129"/>
      <c r="F18" s="92"/>
      <c r="G18" s="135"/>
      <c r="H18" s="129"/>
      <c r="I18" s="92"/>
      <c r="J18" s="180"/>
      <c r="K18" s="15" t="s">
        <v>76</v>
      </c>
      <c r="O18" s="71"/>
    </row>
    <row r="19" spans="1:16">
      <c r="A19" s="106"/>
      <c r="B19" s="110"/>
      <c r="C19" s="114"/>
      <c r="D19" s="127"/>
      <c r="E19" s="129"/>
      <c r="F19" s="92"/>
      <c r="G19" s="135"/>
      <c r="H19" s="129"/>
      <c r="I19" s="92"/>
      <c r="J19" s="141"/>
      <c r="K19" s="15" t="s">
        <v>77</v>
      </c>
      <c r="O19" s="71"/>
    </row>
    <row r="20" spans="1:16">
      <c r="A20" s="106"/>
      <c r="B20" s="110"/>
      <c r="C20" s="114"/>
      <c r="D20" s="127"/>
      <c r="E20" s="129"/>
      <c r="F20" s="92"/>
      <c r="G20" s="50" t="s">
        <v>78</v>
      </c>
      <c r="H20" s="40" t="s">
        <v>79</v>
      </c>
      <c r="I20" s="42">
        <v>0.1</v>
      </c>
      <c r="J20" s="50" t="s">
        <v>21</v>
      </c>
      <c r="K20" s="15" t="s">
        <v>79</v>
      </c>
      <c r="O20" s="71"/>
    </row>
    <row r="21" spans="1:16">
      <c r="A21" s="106"/>
      <c r="B21" s="110"/>
      <c r="C21" s="114"/>
      <c r="D21" s="127"/>
      <c r="E21" s="129"/>
      <c r="F21" s="92"/>
      <c r="G21" s="50" t="s">
        <v>80</v>
      </c>
      <c r="H21" s="40" t="s">
        <v>76</v>
      </c>
      <c r="I21" s="42">
        <v>7.0000000000000007E-2</v>
      </c>
      <c r="J21" s="50" t="s">
        <v>21</v>
      </c>
      <c r="K21" s="15" t="s">
        <v>76</v>
      </c>
      <c r="O21" s="71"/>
    </row>
    <row r="22" spans="1:16">
      <c r="A22" s="106"/>
      <c r="B22" s="110"/>
      <c r="C22" s="114"/>
      <c r="D22" s="107" t="s">
        <v>81</v>
      </c>
      <c r="E22" s="182" t="s">
        <v>82</v>
      </c>
      <c r="F22" s="115">
        <v>0.154</v>
      </c>
      <c r="G22" s="18" t="s">
        <v>83</v>
      </c>
      <c r="H22" s="59" t="s">
        <v>84</v>
      </c>
      <c r="I22" s="36">
        <v>7.6999999999999999E-2</v>
      </c>
      <c r="J22" s="18" t="s">
        <v>37</v>
      </c>
      <c r="K22" s="19" t="s">
        <v>84</v>
      </c>
      <c r="L22" s="19">
        <v>3</v>
      </c>
      <c r="M22" s="19" t="b">
        <v>1</v>
      </c>
      <c r="N22" s="19" t="b">
        <v>0</v>
      </c>
      <c r="O22" s="58" t="s">
        <v>85</v>
      </c>
    </row>
    <row r="23" spans="1:16">
      <c r="A23" s="106"/>
      <c r="B23" s="110"/>
      <c r="C23" s="114"/>
      <c r="D23" s="181"/>
      <c r="E23" s="183"/>
      <c r="F23" s="185"/>
      <c r="G23" s="96" t="s">
        <v>86</v>
      </c>
      <c r="H23" s="187" t="s">
        <v>87</v>
      </c>
      <c r="I23" s="188">
        <v>7.6999999999999999E-2</v>
      </c>
      <c r="J23" s="96" t="s">
        <v>29</v>
      </c>
      <c r="K23" s="17" t="s">
        <v>88</v>
      </c>
      <c r="O23" s="71"/>
    </row>
    <row r="24" spans="1:16">
      <c r="A24" s="106"/>
      <c r="B24" s="110"/>
      <c r="C24" s="114"/>
      <c r="D24" s="181"/>
      <c r="E24" s="183"/>
      <c r="F24" s="185"/>
      <c r="G24" s="97"/>
      <c r="H24" s="150"/>
      <c r="I24" s="189"/>
      <c r="J24" s="97"/>
      <c r="K24" s="17" t="s">
        <v>89</v>
      </c>
      <c r="O24" s="71"/>
    </row>
    <row r="25" spans="1:16">
      <c r="A25" s="106"/>
      <c r="B25" s="110"/>
      <c r="C25" s="114"/>
      <c r="D25" s="143"/>
      <c r="E25" s="184"/>
      <c r="F25" s="145"/>
      <c r="G25" s="186"/>
      <c r="H25" s="151"/>
      <c r="I25" s="190"/>
      <c r="J25" s="186"/>
      <c r="K25" s="17" t="s">
        <v>90</v>
      </c>
      <c r="O25" s="71"/>
    </row>
    <row r="26" spans="1:16">
      <c r="A26" s="106"/>
      <c r="B26" s="110"/>
      <c r="C26" s="114"/>
      <c r="D26" s="93" t="s">
        <v>91</v>
      </c>
      <c r="E26" s="94" t="s">
        <v>92</v>
      </c>
      <c r="F26" s="95">
        <v>0.192</v>
      </c>
      <c r="G26" s="18" t="s">
        <v>93</v>
      </c>
      <c r="H26" s="35" t="s">
        <v>94</v>
      </c>
      <c r="I26" s="36">
        <v>4.8000000000000001E-2</v>
      </c>
      <c r="J26" s="18" t="s">
        <v>37</v>
      </c>
      <c r="K26" s="19" t="s">
        <v>95</v>
      </c>
      <c r="L26" s="19">
        <v>3</v>
      </c>
      <c r="M26" s="19" t="b">
        <v>1</v>
      </c>
      <c r="N26" s="19" t="b">
        <v>0</v>
      </c>
      <c r="O26" s="58" t="s">
        <v>39</v>
      </c>
    </row>
    <row r="27" spans="1:16">
      <c r="A27" s="106"/>
      <c r="B27" s="110"/>
      <c r="C27" s="114"/>
      <c r="D27" s="93"/>
      <c r="E27" s="94"/>
      <c r="F27" s="95"/>
      <c r="G27" s="18" t="s">
        <v>96</v>
      </c>
      <c r="H27" s="35" t="s">
        <v>1014</v>
      </c>
      <c r="I27" s="36">
        <v>2.4E-2</v>
      </c>
      <c r="J27" s="18" t="s">
        <v>37</v>
      </c>
      <c r="K27" s="19" t="s">
        <v>97</v>
      </c>
      <c r="L27" s="19">
        <v>3</v>
      </c>
      <c r="M27" s="19" t="b">
        <v>1</v>
      </c>
      <c r="N27" s="19" t="b">
        <v>0</v>
      </c>
      <c r="O27" s="58" t="s">
        <v>39</v>
      </c>
    </row>
    <row r="28" spans="1:16">
      <c r="A28" s="106"/>
      <c r="B28" s="110"/>
      <c r="C28" s="114"/>
      <c r="D28" s="93"/>
      <c r="E28" s="94"/>
      <c r="F28" s="95"/>
      <c r="G28" s="18" t="s">
        <v>98</v>
      </c>
      <c r="H28" s="35" t="s">
        <v>99</v>
      </c>
      <c r="I28" s="36">
        <v>4.8000000000000001E-2</v>
      </c>
      <c r="J28" s="18" t="s">
        <v>37</v>
      </c>
      <c r="K28" s="19" t="s">
        <v>100</v>
      </c>
      <c r="L28" s="19">
        <v>3</v>
      </c>
      <c r="M28" s="19" t="b">
        <v>1</v>
      </c>
      <c r="N28" s="19" t="b">
        <v>0</v>
      </c>
      <c r="O28" s="58" t="s">
        <v>101</v>
      </c>
      <c r="P28" s="20"/>
    </row>
    <row r="29" spans="1:16">
      <c r="A29" s="106"/>
      <c r="B29" s="110"/>
      <c r="C29" s="114"/>
      <c r="D29" s="93"/>
      <c r="E29" s="94"/>
      <c r="F29" s="95"/>
      <c r="G29" s="18" t="s">
        <v>102</v>
      </c>
      <c r="H29" s="35" t="s">
        <v>103</v>
      </c>
      <c r="I29" s="36">
        <v>4.8000000000000001E-2</v>
      </c>
      <c r="J29" s="18" t="s">
        <v>37</v>
      </c>
      <c r="K29" s="19" t="s">
        <v>104</v>
      </c>
      <c r="L29" s="19">
        <v>3</v>
      </c>
      <c r="M29" s="19" t="b">
        <v>1</v>
      </c>
      <c r="N29" s="19" t="b">
        <v>0</v>
      </c>
      <c r="O29" s="58" t="s">
        <v>101</v>
      </c>
      <c r="P29" s="20"/>
    </row>
    <row r="30" spans="1:16">
      <c r="A30" s="106"/>
      <c r="B30" s="110"/>
      <c r="C30" s="114"/>
      <c r="D30" s="93"/>
      <c r="E30" s="94"/>
      <c r="F30" s="95"/>
      <c r="G30" s="18" t="s">
        <v>1013</v>
      </c>
      <c r="H30" s="35" t="s">
        <v>1015</v>
      </c>
      <c r="I30" s="36">
        <v>2.4E-2</v>
      </c>
      <c r="J30" s="18" t="s">
        <v>37</v>
      </c>
      <c r="K30" s="19" t="s">
        <v>1016</v>
      </c>
      <c r="L30" s="19">
        <v>3</v>
      </c>
      <c r="M30" s="19" t="b">
        <v>1</v>
      </c>
      <c r="N30" s="19" t="b">
        <v>0</v>
      </c>
      <c r="O30" s="58" t="s">
        <v>39</v>
      </c>
    </row>
    <row r="31" spans="1:16">
      <c r="A31" s="106"/>
      <c r="B31" s="110"/>
      <c r="C31" s="114"/>
      <c r="D31" s="130" t="s">
        <v>105</v>
      </c>
      <c r="E31" s="132" t="s">
        <v>106</v>
      </c>
      <c r="F31" s="101">
        <v>0.192</v>
      </c>
      <c r="G31" s="103" t="s">
        <v>107</v>
      </c>
      <c r="H31" s="132" t="s">
        <v>108</v>
      </c>
      <c r="I31" s="101">
        <v>0.192</v>
      </c>
      <c r="J31" s="103" t="s">
        <v>29</v>
      </c>
      <c r="K31" s="17" t="s">
        <v>109</v>
      </c>
      <c r="O31" s="71"/>
    </row>
    <row r="32" spans="1:16">
      <c r="A32" s="106"/>
      <c r="B32" s="110"/>
      <c r="C32" s="114"/>
      <c r="D32" s="130"/>
      <c r="E32" s="132"/>
      <c r="F32" s="101"/>
      <c r="G32" s="103"/>
      <c r="H32" s="132"/>
      <c r="I32" s="101"/>
      <c r="J32" s="103"/>
      <c r="K32" s="17" t="s">
        <v>110</v>
      </c>
      <c r="O32" s="71"/>
    </row>
    <row r="33" spans="1:15">
      <c r="A33" s="106"/>
      <c r="B33" s="110"/>
      <c r="C33" s="114"/>
      <c r="D33" s="130"/>
      <c r="E33" s="132"/>
      <c r="F33" s="101"/>
      <c r="G33" s="103"/>
      <c r="H33" s="132"/>
      <c r="I33" s="101"/>
      <c r="J33" s="103"/>
      <c r="K33" s="17" t="s">
        <v>111</v>
      </c>
      <c r="O33" s="71"/>
    </row>
    <row r="34" spans="1:15">
      <c r="A34" s="106"/>
      <c r="B34" s="110"/>
      <c r="C34" s="114"/>
      <c r="D34" s="93" t="s">
        <v>112</v>
      </c>
      <c r="E34" s="94" t="s">
        <v>113</v>
      </c>
      <c r="F34" s="95">
        <v>0.192</v>
      </c>
      <c r="G34" s="18" t="s">
        <v>114</v>
      </c>
      <c r="H34" s="35" t="s">
        <v>115</v>
      </c>
      <c r="I34" s="36">
        <v>4.8000000000000001E-2</v>
      </c>
      <c r="J34" s="18" t="s">
        <v>37</v>
      </c>
      <c r="K34" s="19" t="s">
        <v>116</v>
      </c>
      <c r="L34" s="19">
        <v>3</v>
      </c>
      <c r="M34" s="19" t="b">
        <v>1</v>
      </c>
      <c r="N34" s="19" t="b">
        <v>0</v>
      </c>
      <c r="O34" s="58" t="s">
        <v>117</v>
      </c>
    </row>
    <row r="35" spans="1:15">
      <c r="A35" s="106"/>
      <c r="B35" s="110"/>
      <c r="C35" s="114"/>
      <c r="D35" s="93"/>
      <c r="E35" s="94"/>
      <c r="F35" s="95"/>
      <c r="G35" s="18" t="s">
        <v>118</v>
      </c>
      <c r="H35" s="35" t="s">
        <v>119</v>
      </c>
      <c r="I35" s="36">
        <v>4.8000000000000001E-2</v>
      </c>
      <c r="J35" s="18" t="s">
        <v>37</v>
      </c>
      <c r="K35" s="19" t="s">
        <v>120</v>
      </c>
      <c r="L35" s="19">
        <v>3</v>
      </c>
      <c r="M35" s="19" t="b">
        <v>1</v>
      </c>
      <c r="N35" s="19" t="b">
        <v>0</v>
      </c>
      <c r="O35" s="58" t="s">
        <v>117</v>
      </c>
    </row>
    <row r="36" spans="1:15">
      <c r="A36" s="106"/>
      <c r="B36" s="110"/>
      <c r="C36" s="114"/>
      <c r="D36" s="93"/>
      <c r="E36" s="94"/>
      <c r="F36" s="95"/>
      <c r="G36" s="18" t="s">
        <v>121</v>
      </c>
      <c r="H36" s="35" t="s">
        <v>122</v>
      </c>
      <c r="I36" s="36">
        <v>4.8000000000000001E-2</v>
      </c>
      <c r="J36" s="18" t="s">
        <v>37</v>
      </c>
      <c r="K36" s="19" t="s">
        <v>123</v>
      </c>
      <c r="L36" s="19">
        <v>3</v>
      </c>
      <c r="M36" s="19" t="b">
        <v>1</v>
      </c>
      <c r="N36" s="19" t="b">
        <v>0</v>
      </c>
      <c r="O36" s="58" t="s">
        <v>117</v>
      </c>
    </row>
    <row r="37" spans="1:15" ht="16.149999999999999" thickBot="1">
      <c r="A37" s="108"/>
      <c r="B37" s="112"/>
      <c r="C37" s="116"/>
      <c r="D37" s="146"/>
      <c r="E37" s="147"/>
      <c r="F37" s="148"/>
      <c r="G37" s="21" t="s">
        <v>124</v>
      </c>
      <c r="H37" s="52" t="s">
        <v>125</v>
      </c>
      <c r="I37" s="53">
        <v>4.8000000000000001E-2</v>
      </c>
      <c r="J37" s="21" t="s">
        <v>37</v>
      </c>
      <c r="K37" s="22" t="s">
        <v>126</v>
      </c>
      <c r="L37" s="22">
        <v>3</v>
      </c>
      <c r="M37" s="22" t="b">
        <v>1</v>
      </c>
      <c r="N37" s="22" t="b">
        <v>0</v>
      </c>
      <c r="O37" s="72" t="s">
        <v>39</v>
      </c>
    </row>
    <row r="38" spans="1:15">
      <c r="A38" s="105" t="s">
        <v>127</v>
      </c>
      <c r="B38" s="109" t="s">
        <v>128</v>
      </c>
      <c r="C38" s="113">
        <v>0.26</v>
      </c>
      <c r="D38" s="126" t="s">
        <v>129</v>
      </c>
      <c r="E38" s="128" t="s">
        <v>130</v>
      </c>
      <c r="F38" s="91">
        <v>0.27</v>
      </c>
      <c r="G38" s="179" t="s">
        <v>131</v>
      </c>
      <c r="H38" s="128" t="s">
        <v>132</v>
      </c>
      <c r="I38" s="177">
        <v>0.1</v>
      </c>
      <c r="J38" s="179" t="s">
        <v>21</v>
      </c>
      <c r="K38" s="12" t="s">
        <v>133</v>
      </c>
      <c r="L38" s="13"/>
      <c r="M38" s="13"/>
      <c r="N38" s="13"/>
      <c r="O38" s="73"/>
    </row>
    <row r="39" spans="1:15">
      <c r="A39" s="106"/>
      <c r="B39" s="110"/>
      <c r="C39" s="114"/>
      <c r="D39" s="127"/>
      <c r="E39" s="129"/>
      <c r="F39" s="92"/>
      <c r="G39" s="180"/>
      <c r="H39" s="129"/>
      <c r="I39" s="178"/>
      <c r="J39" s="180"/>
      <c r="K39" s="15" t="s">
        <v>134</v>
      </c>
      <c r="O39" s="71"/>
    </row>
    <row r="40" spans="1:15">
      <c r="A40" s="106"/>
      <c r="B40" s="110"/>
      <c r="C40" s="114"/>
      <c r="D40" s="127"/>
      <c r="E40" s="129"/>
      <c r="F40" s="92"/>
      <c r="G40" s="141"/>
      <c r="H40" s="129"/>
      <c r="I40" s="138"/>
      <c r="J40" s="141"/>
      <c r="K40" s="15" t="s">
        <v>135</v>
      </c>
      <c r="O40" s="71"/>
    </row>
    <row r="41" spans="1:15">
      <c r="A41" s="106"/>
      <c r="B41" s="110"/>
      <c r="C41" s="114"/>
      <c r="D41" s="127"/>
      <c r="E41" s="129"/>
      <c r="F41" s="92"/>
      <c r="G41" s="50" t="s">
        <v>136</v>
      </c>
      <c r="H41" s="40" t="s">
        <v>137</v>
      </c>
      <c r="I41" s="42">
        <v>0.1</v>
      </c>
      <c r="J41" s="50" t="s">
        <v>21</v>
      </c>
      <c r="K41" s="15" t="s">
        <v>137</v>
      </c>
      <c r="O41" s="71"/>
    </row>
    <row r="42" spans="1:15">
      <c r="A42" s="106"/>
      <c r="B42" s="110"/>
      <c r="C42" s="114"/>
      <c r="D42" s="127"/>
      <c r="E42" s="129"/>
      <c r="F42" s="92"/>
      <c r="G42" s="50" t="s">
        <v>138</v>
      </c>
      <c r="H42" s="40" t="s">
        <v>134</v>
      </c>
      <c r="I42" s="42">
        <v>7.0000000000000007E-2</v>
      </c>
      <c r="J42" s="50" t="s">
        <v>21</v>
      </c>
      <c r="K42" s="15" t="s">
        <v>134</v>
      </c>
      <c r="O42" s="71"/>
    </row>
    <row r="43" spans="1:15">
      <c r="A43" s="106"/>
      <c r="B43" s="110"/>
      <c r="C43" s="114"/>
      <c r="D43" s="130" t="s">
        <v>139</v>
      </c>
      <c r="E43" s="132" t="s">
        <v>140</v>
      </c>
      <c r="F43" s="101">
        <v>0.34599999999999997</v>
      </c>
      <c r="G43" s="103" t="s">
        <v>141</v>
      </c>
      <c r="H43" s="132" t="s">
        <v>142</v>
      </c>
      <c r="I43" s="101">
        <v>0.34599999999999997</v>
      </c>
      <c r="J43" s="103" t="s">
        <v>29</v>
      </c>
      <c r="K43" s="17" t="s">
        <v>109</v>
      </c>
      <c r="O43" s="71"/>
    </row>
    <row r="44" spans="1:15">
      <c r="A44" s="106"/>
      <c r="B44" s="110"/>
      <c r="C44" s="114"/>
      <c r="D44" s="130"/>
      <c r="E44" s="132"/>
      <c r="F44" s="101"/>
      <c r="G44" s="103"/>
      <c r="H44" s="132"/>
      <c r="I44" s="101"/>
      <c r="J44" s="103"/>
      <c r="K44" s="17" t="s">
        <v>143</v>
      </c>
      <c r="O44" s="71"/>
    </row>
    <row r="45" spans="1:15">
      <c r="A45" s="106"/>
      <c r="B45" s="110"/>
      <c r="C45" s="114"/>
      <c r="D45" s="130"/>
      <c r="E45" s="132"/>
      <c r="F45" s="101"/>
      <c r="G45" s="103"/>
      <c r="H45" s="132"/>
      <c r="I45" s="101"/>
      <c r="J45" s="103"/>
      <c r="K45" s="17" t="s">
        <v>144</v>
      </c>
      <c r="O45" s="71"/>
    </row>
    <row r="46" spans="1:15">
      <c r="A46" s="106"/>
      <c r="B46" s="110"/>
      <c r="C46" s="114"/>
      <c r="D46" s="93" t="s">
        <v>145</v>
      </c>
      <c r="E46" s="94" t="s">
        <v>146</v>
      </c>
      <c r="F46" s="95">
        <v>0.38400000000000001</v>
      </c>
      <c r="G46" s="18" t="s">
        <v>147</v>
      </c>
      <c r="H46" s="35" t="s">
        <v>148</v>
      </c>
      <c r="I46" s="36">
        <v>7.0000000000000007E-2</v>
      </c>
      <c r="J46" s="18" t="s">
        <v>37</v>
      </c>
      <c r="K46" s="19" t="s">
        <v>149</v>
      </c>
      <c r="L46" s="19">
        <v>3</v>
      </c>
      <c r="M46" s="19" t="b">
        <v>1</v>
      </c>
      <c r="N46" s="19" t="b">
        <v>0</v>
      </c>
      <c r="O46" s="58" t="s">
        <v>150</v>
      </c>
    </row>
    <row r="47" spans="1:15" ht="31.5">
      <c r="A47" s="106"/>
      <c r="B47" s="110"/>
      <c r="C47" s="114"/>
      <c r="D47" s="93"/>
      <c r="E47" s="94"/>
      <c r="F47" s="95"/>
      <c r="G47" s="18" t="s">
        <v>151</v>
      </c>
      <c r="H47" s="59" t="s">
        <v>152</v>
      </c>
      <c r="I47" s="36">
        <v>7.0000000000000007E-2</v>
      </c>
      <c r="J47" s="18" t="s">
        <v>37</v>
      </c>
      <c r="K47" s="19" t="s">
        <v>153</v>
      </c>
      <c r="L47" s="19">
        <v>3</v>
      </c>
      <c r="M47" s="19" t="b">
        <v>1</v>
      </c>
      <c r="N47" s="19" t="b">
        <v>0</v>
      </c>
      <c r="O47" s="60" t="s">
        <v>154</v>
      </c>
    </row>
    <row r="48" spans="1:15" ht="31.5">
      <c r="A48" s="106"/>
      <c r="B48" s="110"/>
      <c r="C48" s="114"/>
      <c r="D48" s="93"/>
      <c r="E48" s="94"/>
      <c r="F48" s="95"/>
      <c r="G48" s="18" t="s">
        <v>155</v>
      </c>
      <c r="H48" s="59" t="s">
        <v>156</v>
      </c>
      <c r="I48" s="36">
        <v>2.4E-2</v>
      </c>
      <c r="J48" s="18" t="s">
        <v>37</v>
      </c>
      <c r="K48" s="19" t="s">
        <v>157</v>
      </c>
      <c r="L48" s="19">
        <v>3</v>
      </c>
      <c r="M48" s="19" t="b">
        <v>1</v>
      </c>
      <c r="N48" s="19" t="b">
        <v>0</v>
      </c>
      <c r="O48" s="60" t="s">
        <v>158</v>
      </c>
    </row>
    <row r="49" spans="1:16">
      <c r="A49" s="106"/>
      <c r="B49" s="110"/>
      <c r="C49" s="114"/>
      <c r="D49" s="93"/>
      <c r="E49" s="94"/>
      <c r="F49" s="95"/>
      <c r="G49" s="18" t="s">
        <v>159</v>
      </c>
      <c r="H49" s="59" t="s">
        <v>160</v>
      </c>
      <c r="I49" s="36">
        <v>7.0000000000000007E-2</v>
      </c>
      <c r="J49" s="18" t="s">
        <v>37</v>
      </c>
      <c r="K49" s="19" t="s">
        <v>161</v>
      </c>
      <c r="L49" s="19">
        <v>3</v>
      </c>
      <c r="M49" s="19" t="b">
        <v>1</v>
      </c>
      <c r="N49" s="19" t="b">
        <v>0</v>
      </c>
      <c r="O49" s="58" t="s">
        <v>162</v>
      </c>
    </row>
    <row r="50" spans="1:16" ht="47.25">
      <c r="A50" s="106"/>
      <c r="B50" s="110"/>
      <c r="C50" s="114"/>
      <c r="D50" s="93"/>
      <c r="E50" s="94"/>
      <c r="F50" s="95"/>
      <c r="G50" s="18" t="s">
        <v>163</v>
      </c>
      <c r="H50" s="59" t="s">
        <v>1018</v>
      </c>
      <c r="I50" s="36">
        <v>3.5000000000000003E-2</v>
      </c>
      <c r="J50" s="18" t="s">
        <v>37</v>
      </c>
      <c r="K50" s="19" t="s">
        <v>1019</v>
      </c>
      <c r="L50" s="19">
        <v>3</v>
      </c>
      <c r="M50" s="19" t="b">
        <v>1</v>
      </c>
      <c r="N50" s="19" t="b">
        <v>0</v>
      </c>
      <c r="O50" s="60" t="s">
        <v>164</v>
      </c>
    </row>
    <row r="51" spans="1:16">
      <c r="A51" s="107"/>
      <c r="B51" s="111"/>
      <c r="C51" s="115"/>
      <c r="D51" s="117"/>
      <c r="E51" s="163"/>
      <c r="F51" s="123"/>
      <c r="G51" s="18" t="s">
        <v>165</v>
      </c>
      <c r="H51" s="59" t="s">
        <v>166</v>
      </c>
      <c r="I51" s="36">
        <v>0.08</v>
      </c>
      <c r="J51" s="18" t="s">
        <v>37</v>
      </c>
      <c r="K51" s="19" t="s">
        <v>167</v>
      </c>
      <c r="L51" s="19">
        <v>4</v>
      </c>
      <c r="M51" s="19" t="b">
        <v>1</v>
      </c>
      <c r="N51" s="19" t="b">
        <v>1</v>
      </c>
      <c r="O51" s="58" t="s">
        <v>168</v>
      </c>
    </row>
    <row r="52" spans="1:16" ht="47.65" thickBot="1">
      <c r="A52" s="108"/>
      <c r="B52" s="112"/>
      <c r="C52" s="116"/>
      <c r="D52" s="146"/>
      <c r="E52" s="147"/>
      <c r="F52" s="148"/>
      <c r="G52" s="21" t="s">
        <v>1017</v>
      </c>
      <c r="H52" s="52" t="s">
        <v>1021</v>
      </c>
      <c r="I52" s="53">
        <v>3.5000000000000003E-2</v>
      </c>
      <c r="J52" s="21" t="s">
        <v>37</v>
      </c>
      <c r="K52" s="22" t="s">
        <v>1020</v>
      </c>
      <c r="L52" s="22">
        <v>3</v>
      </c>
      <c r="M52" s="22" t="b">
        <v>1</v>
      </c>
      <c r="N52" s="22" t="b">
        <v>0</v>
      </c>
      <c r="O52" s="78" t="s">
        <v>164</v>
      </c>
    </row>
    <row r="53" spans="1:16">
      <c r="A53" s="105" t="s">
        <v>169</v>
      </c>
      <c r="B53" s="109" t="s">
        <v>170</v>
      </c>
      <c r="C53" s="113">
        <v>0.26</v>
      </c>
      <c r="D53" s="126" t="s">
        <v>171</v>
      </c>
      <c r="E53" s="175" t="s">
        <v>172</v>
      </c>
      <c r="F53" s="91">
        <v>0.27</v>
      </c>
      <c r="G53" s="134" t="s">
        <v>173</v>
      </c>
      <c r="H53" s="136" t="s">
        <v>174</v>
      </c>
      <c r="I53" s="91">
        <v>0.1</v>
      </c>
      <c r="J53" s="134" t="s">
        <v>21</v>
      </c>
      <c r="K53" s="12" t="s">
        <v>175</v>
      </c>
      <c r="L53" s="13"/>
      <c r="M53" s="13"/>
      <c r="N53" s="13"/>
      <c r="O53" s="73"/>
    </row>
    <row r="54" spans="1:16">
      <c r="A54" s="106"/>
      <c r="B54" s="110"/>
      <c r="C54" s="114"/>
      <c r="D54" s="127"/>
      <c r="E54" s="176"/>
      <c r="F54" s="92"/>
      <c r="G54" s="135"/>
      <c r="H54" s="137"/>
      <c r="I54" s="92"/>
      <c r="J54" s="135"/>
      <c r="K54" s="15" t="s">
        <v>176</v>
      </c>
      <c r="O54" s="71"/>
    </row>
    <row r="55" spans="1:16">
      <c r="A55" s="106"/>
      <c r="B55" s="110"/>
      <c r="C55" s="114"/>
      <c r="D55" s="127"/>
      <c r="E55" s="176"/>
      <c r="F55" s="92"/>
      <c r="G55" s="135"/>
      <c r="H55" s="137"/>
      <c r="I55" s="92"/>
      <c r="J55" s="135"/>
      <c r="K55" s="15" t="s">
        <v>177</v>
      </c>
      <c r="O55" s="71"/>
    </row>
    <row r="56" spans="1:16">
      <c r="A56" s="106"/>
      <c r="B56" s="110"/>
      <c r="C56" s="114"/>
      <c r="D56" s="127"/>
      <c r="E56" s="176"/>
      <c r="F56" s="92"/>
      <c r="G56" s="135" t="s">
        <v>178</v>
      </c>
      <c r="H56" s="137" t="s">
        <v>179</v>
      </c>
      <c r="I56" s="92">
        <v>0.1</v>
      </c>
      <c r="J56" s="135" t="s">
        <v>21</v>
      </c>
      <c r="K56" s="15" t="s">
        <v>180</v>
      </c>
      <c r="O56" s="71"/>
    </row>
    <row r="57" spans="1:16">
      <c r="A57" s="106"/>
      <c r="B57" s="110"/>
      <c r="C57" s="114"/>
      <c r="D57" s="127"/>
      <c r="E57" s="176"/>
      <c r="F57" s="92"/>
      <c r="G57" s="135"/>
      <c r="H57" s="137"/>
      <c r="I57" s="92"/>
      <c r="J57" s="135"/>
      <c r="K57" s="15" t="s">
        <v>176</v>
      </c>
      <c r="O57" s="71"/>
    </row>
    <row r="58" spans="1:16">
      <c r="A58" s="106"/>
      <c r="B58" s="110"/>
      <c r="C58" s="114"/>
      <c r="D58" s="127"/>
      <c r="E58" s="176"/>
      <c r="F58" s="92"/>
      <c r="G58" s="135"/>
      <c r="H58" s="137"/>
      <c r="I58" s="92"/>
      <c r="J58" s="135"/>
      <c r="K58" s="15" t="s">
        <v>181</v>
      </c>
      <c r="O58" s="71"/>
    </row>
    <row r="59" spans="1:16">
      <c r="A59" s="106"/>
      <c r="B59" s="110"/>
      <c r="C59" s="114"/>
      <c r="D59" s="127"/>
      <c r="E59" s="176"/>
      <c r="F59" s="92"/>
      <c r="G59" s="50" t="s">
        <v>182</v>
      </c>
      <c r="H59" s="80" t="s">
        <v>176</v>
      </c>
      <c r="I59" s="42">
        <v>7.0000000000000007E-2</v>
      </c>
      <c r="J59" s="50" t="s">
        <v>21</v>
      </c>
      <c r="K59" s="15" t="s">
        <v>176</v>
      </c>
      <c r="O59" s="71"/>
    </row>
    <row r="60" spans="1:16">
      <c r="A60" s="106"/>
      <c r="B60" s="110"/>
      <c r="C60" s="114"/>
      <c r="D60" s="130" t="s">
        <v>183</v>
      </c>
      <c r="E60" s="132" t="s">
        <v>184</v>
      </c>
      <c r="F60" s="101">
        <v>0.154</v>
      </c>
      <c r="G60" s="103" t="s">
        <v>185</v>
      </c>
      <c r="H60" s="99" t="s">
        <v>186</v>
      </c>
      <c r="I60" s="101">
        <v>0.154</v>
      </c>
      <c r="J60" s="103" t="s">
        <v>29</v>
      </c>
      <c r="K60" s="17" t="s">
        <v>109</v>
      </c>
      <c r="L60">
        <v>4099</v>
      </c>
      <c r="O60" s="71" t="s">
        <v>1049</v>
      </c>
    </row>
    <row r="61" spans="1:16">
      <c r="A61" s="106"/>
      <c r="B61" s="110"/>
      <c r="C61" s="114"/>
      <c r="D61" s="130"/>
      <c r="E61" s="132"/>
      <c r="F61" s="101"/>
      <c r="G61" s="103"/>
      <c r="H61" s="99"/>
      <c r="I61" s="101"/>
      <c r="J61" s="103"/>
      <c r="K61" s="17" t="s">
        <v>187</v>
      </c>
      <c r="L61">
        <v>216</v>
      </c>
      <c r="O61" s="71" t="s">
        <v>1049</v>
      </c>
    </row>
    <row r="62" spans="1:16">
      <c r="A62" s="106"/>
      <c r="B62" s="110"/>
      <c r="C62" s="114"/>
      <c r="D62" s="130"/>
      <c r="E62" s="132"/>
      <c r="F62" s="101"/>
      <c r="G62" s="103"/>
      <c r="H62" s="99"/>
      <c r="I62" s="101"/>
      <c r="J62" s="103"/>
      <c r="K62" s="17" t="s">
        <v>188</v>
      </c>
      <c r="L62">
        <f>(L61/L60)*100</f>
        <v>5.2695779458404486</v>
      </c>
      <c r="O62" s="71" t="s">
        <v>1049</v>
      </c>
    </row>
    <row r="63" spans="1:16" ht="63">
      <c r="A63" s="106"/>
      <c r="B63" s="110"/>
      <c r="C63" s="114"/>
      <c r="D63" s="93" t="s">
        <v>189</v>
      </c>
      <c r="E63" s="94" t="s">
        <v>190</v>
      </c>
      <c r="F63" s="95">
        <v>0.26800000000000002</v>
      </c>
      <c r="G63" s="18" t="s">
        <v>191</v>
      </c>
      <c r="H63" s="59" t="s">
        <v>192</v>
      </c>
      <c r="I63" s="36">
        <v>0.05</v>
      </c>
      <c r="J63" s="18" t="s">
        <v>37</v>
      </c>
      <c r="K63" s="19" t="s">
        <v>193</v>
      </c>
      <c r="L63" s="19">
        <v>3</v>
      </c>
      <c r="M63" s="90" t="b">
        <v>1</v>
      </c>
      <c r="N63" s="19" t="b">
        <v>0</v>
      </c>
      <c r="O63" s="60" t="s">
        <v>194</v>
      </c>
      <c r="P63" t="s">
        <v>1050</v>
      </c>
    </row>
    <row r="64" spans="1:16">
      <c r="A64" s="106"/>
      <c r="B64" s="110"/>
      <c r="C64" s="114"/>
      <c r="D64" s="93"/>
      <c r="E64" s="94"/>
      <c r="F64" s="95"/>
      <c r="G64" s="18" t="s">
        <v>195</v>
      </c>
      <c r="H64" s="35" t="s">
        <v>196</v>
      </c>
      <c r="I64" s="36">
        <v>0.05</v>
      </c>
      <c r="J64" s="18" t="s">
        <v>37</v>
      </c>
      <c r="K64" s="19" t="s">
        <v>197</v>
      </c>
      <c r="L64" s="19">
        <v>3</v>
      </c>
      <c r="M64" s="90" t="b">
        <v>1</v>
      </c>
      <c r="N64" s="19" t="b">
        <v>0</v>
      </c>
      <c r="O64" s="58" t="s">
        <v>198</v>
      </c>
    </row>
    <row r="65" spans="1:15">
      <c r="A65" s="106"/>
      <c r="B65" s="110"/>
      <c r="C65" s="114"/>
      <c r="D65" s="93"/>
      <c r="E65" s="94"/>
      <c r="F65" s="95"/>
      <c r="G65" s="18" t="s">
        <v>199</v>
      </c>
      <c r="H65" s="35" t="s">
        <v>200</v>
      </c>
      <c r="I65" s="36">
        <v>0.05</v>
      </c>
      <c r="J65" s="18" t="s">
        <v>37</v>
      </c>
      <c r="K65" s="19" t="s">
        <v>201</v>
      </c>
      <c r="L65" s="19">
        <v>3</v>
      </c>
      <c r="M65" s="90" t="b">
        <v>1</v>
      </c>
      <c r="N65" s="19" t="b">
        <v>0</v>
      </c>
      <c r="O65" s="58" t="s">
        <v>198</v>
      </c>
    </row>
    <row r="66" spans="1:15">
      <c r="A66" s="106"/>
      <c r="B66" s="110"/>
      <c r="C66" s="114"/>
      <c r="D66" s="93"/>
      <c r="E66" s="94"/>
      <c r="F66" s="95"/>
      <c r="G66" s="18" t="s">
        <v>202</v>
      </c>
      <c r="H66" s="35" t="s">
        <v>203</v>
      </c>
      <c r="I66" s="36">
        <v>0.05</v>
      </c>
      <c r="J66" s="18" t="s">
        <v>37</v>
      </c>
      <c r="K66" s="19" t="s">
        <v>204</v>
      </c>
      <c r="L66" s="19">
        <v>3</v>
      </c>
      <c r="M66" s="90" t="b">
        <v>1</v>
      </c>
      <c r="N66" s="19" t="b">
        <v>0</v>
      </c>
      <c r="O66" s="58" t="s">
        <v>198</v>
      </c>
    </row>
    <row r="67" spans="1:15">
      <c r="A67" s="106"/>
      <c r="B67" s="110"/>
      <c r="C67" s="114"/>
      <c r="D67" s="93"/>
      <c r="E67" s="94"/>
      <c r="F67" s="95"/>
      <c r="G67" s="18" t="s">
        <v>205</v>
      </c>
      <c r="H67" s="35" t="s">
        <v>206</v>
      </c>
      <c r="I67" s="36">
        <v>6.8000000000000005E-2</v>
      </c>
      <c r="J67" s="18" t="s">
        <v>37</v>
      </c>
      <c r="K67" s="19" t="s">
        <v>207</v>
      </c>
      <c r="L67" s="19">
        <v>4</v>
      </c>
      <c r="M67" s="90" t="b">
        <v>1</v>
      </c>
      <c r="N67" s="19" t="b">
        <v>1</v>
      </c>
      <c r="O67" s="58" t="s">
        <v>39</v>
      </c>
    </row>
    <row r="68" spans="1:15">
      <c r="A68" s="106"/>
      <c r="B68" s="110"/>
      <c r="C68" s="114"/>
      <c r="D68" s="130" t="s">
        <v>208</v>
      </c>
      <c r="E68" s="132" t="s">
        <v>209</v>
      </c>
      <c r="F68" s="101">
        <v>0.308</v>
      </c>
      <c r="G68" s="103" t="s">
        <v>210</v>
      </c>
      <c r="H68" s="132" t="s">
        <v>211</v>
      </c>
      <c r="I68" s="44">
        <v>0.308</v>
      </c>
      <c r="J68" s="46" t="s">
        <v>29</v>
      </c>
      <c r="K68" s="17" t="s">
        <v>212</v>
      </c>
      <c r="O68" s="71"/>
    </row>
    <row r="69" spans="1:15">
      <c r="A69" s="106"/>
      <c r="B69" s="110"/>
      <c r="C69" s="114"/>
      <c r="D69" s="130"/>
      <c r="E69" s="132"/>
      <c r="F69" s="101"/>
      <c r="G69" s="103"/>
      <c r="H69" s="132"/>
      <c r="I69" s="44">
        <v>0.308</v>
      </c>
      <c r="J69" s="46" t="s">
        <v>29</v>
      </c>
      <c r="K69" s="17" t="s">
        <v>213</v>
      </c>
      <c r="O69" s="71"/>
    </row>
    <row r="70" spans="1:15" ht="16.149999999999999" thickBot="1">
      <c r="A70" s="108"/>
      <c r="B70" s="112"/>
      <c r="C70" s="116"/>
      <c r="D70" s="131"/>
      <c r="E70" s="133"/>
      <c r="F70" s="102"/>
      <c r="G70" s="104"/>
      <c r="H70" s="133"/>
      <c r="I70" s="45">
        <v>0.308</v>
      </c>
      <c r="J70" s="47" t="s">
        <v>29</v>
      </c>
      <c r="K70" s="23" t="s">
        <v>214</v>
      </c>
      <c r="L70" s="24"/>
      <c r="M70" s="24"/>
      <c r="N70" s="24"/>
      <c r="O70" s="74"/>
    </row>
    <row r="71" spans="1:15">
      <c r="A71" s="105" t="s">
        <v>215</v>
      </c>
      <c r="B71" s="109" t="s">
        <v>216</v>
      </c>
      <c r="C71" s="113">
        <v>0.26</v>
      </c>
      <c r="D71" s="126" t="s">
        <v>217</v>
      </c>
      <c r="E71" s="128" t="s">
        <v>218</v>
      </c>
      <c r="F71" s="91">
        <v>0.27</v>
      </c>
      <c r="G71" s="49" t="s">
        <v>219</v>
      </c>
      <c r="H71" s="81" t="s">
        <v>1011</v>
      </c>
      <c r="I71" s="41">
        <v>0.1</v>
      </c>
      <c r="J71" s="49" t="s">
        <v>21</v>
      </c>
      <c r="K71" s="84" t="s">
        <v>1011</v>
      </c>
      <c r="L71" s="13"/>
      <c r="M71" s="13"/>
      <c r="N71" s="13"/>
      <c r="O71" s="73"/>
    </row>
    <row r="72" spans="1:15">
      <c r="A72" s="106"/>
      <c r="B72" s="110"/>
      <c r="C72" s="114"/>
      <c r="D72" s="127"/>
      <c r="E72" s="129"/>
      <c r="F72" s="92"/>
      <c r="G72" s="135" t="s">
        <v>220</v>
      </c>
      <c r="H72" s="129" t="s">
        <v>221</v>
      </c>
      <c r="I72" s="92">
        <v>0.1</v>
      </c>
      <c r="J72" s="135" t="s">
        <v>21</v>
      </c>
      <c r="K72" s="15" t="s">
        <v>222</v>
      </c>
      <c r="O72" s="71"/>
    </row>
    <row r="73" spans="1:15">
      <c r="A73" s="106"/>
      <c r="B73" s="110"/>
      <c r="C73" s="114"/>
      <c r="D73" s="127"/>
      <c r="E73" s="129"/>
      <c r="F73" s="92"/>
      <c r="G73" s="135"/>
      <c r="H73" s="129"/>
      <c r="I73" s="92"/>
      <c r="J73" s="135"/>
      <c r="K73" s="15" t="s">
        <v>223</v>
      </c>
      <c r="O73" s="71"/>
    </row>
    <row r="74" spans="1:15">
      <c r="A74" s="106"/>
      <c r="B74" s="110"/>
      <c r="C74" s="114"/>
      <c r="D74" s="127"/>
      <c r="E74" s="129"/>
      <c r="F74" s="92"/>
      <c r="G74" s="135"/>
      <c r="H74" s="129"/>
      <c r="I74" s="92"/>
      <c r="J74" s="135"/>
      <c r="K74" s="15" t="s">
        <v>224</v>
      </c>
      <c r="O74" s="71"/>
    </row>
    <row r="75" spans="1:15">
      <c r="A75" s="106"/>
      <c r="B75" s="110"/>
      <c r="C75" s="114"/>
      <c r="D75" s="127"/>
      <c r="E75" s="129"/>
      <c r="F75" s="92"/>
      <c r="G75" s="50" t="s">
        <v>225</v>
      </c>
      <c r="H75" s="40" t="s">
        <v>223</v>
      </c>
      <c r="I75" s="42">
        <v>7.0000000000000007E-2</v>
      </c>
      <c r="J75" s="50" t="s">
        <v>21</v>
      </c>
      <c r="K75" s="15" t="s">
        <v>223</v>
      </c>
      <c r="O75" s="71"/>
    </row>
    <row r="76" spans="1:15">
      <c r="A76" s="106"/>
      <c r="B76" s="110"/>
      <c r="C76" s="114"/>
      <c r="D76" s="130" t="s">
        <v>226</v>
      </c>
      <c r="E76" s="132" t="s">
        <v>227</v>
      </c>
      <c r="F76" s="101">
        <v>0.154</v>
      </c>
      <c r="G76" s="103" t="s">
        <v>228</v>
      </c>
      <c r="H76" s="132" t="s">
        <v>229</v>
      </c>
      <c r="I76" s="101">
        <v>0.154</v>
      </c>
      <c r="J76" s="103" t="s">
        <v>29</v>
      </c>
      <c r="K76" s="17" t="s">
        <v>230</v>
      </c>
      <c r="O76" s="71"/>
    </row>
    <row r="77" spans="1:15">
      <c r="A77" s="106"/>
      <c r="B77" s="110"/>
      <c r="C77" s="114"/>
      <c r="D77" s="130"/>
      <c r="E77" s="132"/>
      <c r="F77" s="101"/>
      <c r="G77" s="103"/>
      <c r="H77" s="132"/>
      <c r="I77" s="101"/>
      <c r="J77" s="103"/>
      <c r="K77" s="17" t="s">
        <v>231</v>
      </c>
      <c r="O77" s="71"/>
    </row>
    <row r="78" spans="1:15">
      <c r="A78" s="106"/>
      <c r="B78" s="110"/>
      <c r="C78" s="114"/>
      <c r="D78" s="130"/>
      <c r="E78" s="132"/>
      <c r="F78" s="101"/>
      <c r="G78" s="103"/>
      <c r="H78" s="132"/>
      <c r="I78" s="101"/>
      <c r="J78" s="103"/>
      <c r="K78" s="17" t="s">
        <v>232</v>
      </c>
      <c r="O78" s="71"/>
    </row>
    <row r="79" spans="1:15">
      <c r="A79" s="106"/>
      <c r="B79" s="110"/>
      <c r="C79" s="114"/>
      <c r="D79" s="93" t="s">
        <v>233</v>
      </c>
      <c r="E79" s="94" t="s">
        <v>234</v>
      </c>
      <c r="F79" s="95">
        <v>0.154</v>
      </c>
      <c r="G79" s="18" t="s">
        <v>235</v>
      </c>
      <c r="H79" s="35" t="s">
        <v>236</v>
      </c>
      <c r="I79" s="36">
        <v>1.6E-2</v>
      </c>
      <c r="J79" s="18" t="s">
        <v>37</v>
      </c>
      <c r="K79" s="19" t="s">
        <v>237</v>
      </c>
      <c r="L79" s="19">
        <v>3</v>
      </c>
      <c r="M79" s="19" t="b">
        <v>1</v>
      </c>
      <c r="N79" s="19" t="b">
        <v>0</v>
      </c>
      <c r="O79" s="58" t="s">
        <v>39</v>
      </c>
    </row>
    <row r="80" spans="1:15">
      <c r="A80" s="106"/>
      <c r="B80" s="110"/>
      <c r="C80" s="114"/>
      <c r="D80" s="93"/>
      <c r="E80" s="94"/>
      <c r="F80" s="95"/>
      <c r="G80" s="18" t="s">
        <v>238</v>
      </c>
      <c r="H80" s="35" t="s">
        <v>239</v>
      </c>
      <c r="I80" s="36">
        <v>4.5999999999999999E-2</v>
      </c>
      <c r="J80" s="18" t="s">
        <v>37</v>
      </c>
      <c r="K80" s="19" t="s">
        <v>240</v>
      </c>
      <c r="L80" s="19">
        <v>4</v>
      </c>
      <c r="M80" s="19" t="b">
        <v>1</v>
      </c>
      <c r="N80" s="19" t="b">
        <v>1</v>
      </c>
      <c r="O80" s="58" t="s">
        <v>39</v>
      </c>
    </row>
    <row r="81" spans="1:16" ht="31.5">
      <c r="A81" s="106"/>
      <c r="B81" s="110"/>
      <c r="C81" s="114"/>
      <c r="D81" s="93"/>
      <c r="E81" s="94"/>
      <c r="F81" s="95"/>
      <c r="G81" s="18" t="s">
        <v>241</v>
      </c>
      <c r="H81" s="35" t="s">
        <v>242</v>
      </c>
      <c r="I81" s="36">
        <v>4.5999999999999999E-2</v>
      </c>
      <c r="J81" s="18" t="s">
        <v>37</v>
      </c>
      <c r="K81" s="19" t="s">
        <v>243</v>
      </c>
      <c r="L81" s="19">
        <v>3</v>
      </c>
      <c r="M81" s="19" t="b">
        <v>1</v>
      </c>
      <c r="N81" s="19" t="b">
        <v>0</v>
      </c>
      <c r="O81" s="60" t="s">
        <v>244</v>
      </c>
    </row>
    <row r="82" spans="1:16" ht="63">
      <c r="A82" s="106"/>
      <c r="B82" s="110"/>
      <c r="C82" s="114"/>
      <c r="D82" s="93"/>
      <c r="E82" s="94"/>
      <c r="F82" s="95"/>
      <c r="G82" s="18" t="s">
        <v>245</v>
      </c>
      <c r="H82" s="35" t="s">
        <v>246</v>
      </c>
      <c r="I82" s="36">
        <v>4.5999999999999999E-2</v>
      </c>
      <c r="J82" s="18" t="s">
        <v>37</v>
      </c>
      <c r="K82" s="19" t="s">
        <v>247</v>
      </c>
      <c r="L82" s="19">
        <v>3</v>
      </c>
      <c r="M82" s="19" t="b">
        <v>1</v>
      </c>
      <c r="N82" s="19" t="b">
        <v>0</v>
      </c>
      <c r="O82" s="60" t="s">
        <v>248</v>
      </c>
      <c r="P82" s="20"/>
    </row>
    <row r="83" spans="1:16">
      <c r="A83" s="106"/>
      <c r="B83" s="110"/>
      <c r="C83" s="114"/>
      <c r="D83" s="130" t="s">
        <v>249</v>
      </c>
      <c r="E83" s="132" t="s">
        <v>250</v>
      </c>
      <c r="F83" s="101">
        <v>0.154</v>
      </c>
      <c r="G83" s="103" t="s">
        <v>251</v>
      </c>
      <c r="H83" s="132" t="s">
        <v>250</v>
      </c>
      <c r="I83" s="101">
        <v>0.154</v>
      </c>
      <c r="J83" s="103" t="s">
        <v>29</v>
      </c>
      <c r="K83" s="17" t="s">
        <v>252</v>
      </c>
      <c r="O83" s="71"/>
    </row>
    <row r="84" spans="1:16">
      <c r="A84" s="106"/>
      <c r="B84" s="110"/>
      <c r="C84" s="114"/>
      <c r="D84" s="130"/>
      <c r="E84" s="132"/>
      <c r="F84" s="101"/>
      <c r="G84" s="103"/>
      <c r="H84" s="132"/>
      <c r="I84" s="101"/>
      <c r="J84" s="103"/>
      <c r="K84" s="17" t="s">
        <v>253</v>
      </c>
      <c r="O84" s="71"/>
    </row>
    <row r="85" spans="1:16">
      <c r="A85" s="106"/>
      <c r="B85" s="110"/>
      <c r="C85" s="114"/>
      <c r="D85" s="130"/>
      <c r="E85" s="132"/>
      <c r="F85" s="101"/>
      <c r="G85" s="103"/>
      <c r="H85" s="132"/>
      <c r="I85" s="101"/>
      <c r="J85" s="103"/>
      <c r="K85" s="17" t="s">
        <v>254</v>
      </c>
      <c r="O85" s="71"/>
    </row>
    <row r="86" spans="1:16">
      <c r="A86" s="106"/>
      <c r="B86" s="110"/>
      <c r="C86" s="114"/>
      <c r="D86" s="130" t="s">
        <v>255</v>
      </c>
      <c r="E86" s="132" t="s">
        <v>256</v>
      </c>
      <c r="F86" s="101">
        <v>0.115</v>
      </c>
      <c r="G86" s="103" t="s">
        <v>257</v>
      </c>
      <c r="H86" s="174" t="s">
        <v>258</v>
      </c>
      <c r="I86" s="101">
        <v>0.115</v>
      </c>
      <c r="J86" s="103" t="s">
        <v>29</v>
      </c>
      <c r="K86" s="17" t="s">
        <v>259</v>
      </c>
      <c r="O86" s="71"/>
    </row>
    <row r="87" spans="1:16">
      <c r="A87" s="106"/>
      <c r="B87" s="110"/>
      <c r="C87" s="114"/>
      <c r="D87" s="130"/>
      <c r="E87" s="132"/>
      <c r="F87" s="101"/>
      <c r="G87" s="103"/>
      <c r="H87" s="132"/>
      <c r="I87" s="101"/>
      <c r="J87" s="103"/>
      <c r="K87" s="17" t="s">
        <v>260</v>
      </c>
      <c r="O87" s="71"/>
    </row>
    <row r="88" spans="1:16">
      <c r="A88" s="106"/>
      <c r="B88" s="110"/>
      <c r="C88" s="114"/>
      <c r="D88" s="130"/>
      <c r="E88" s="132"/>
      <c r="F88" s="101"/>
      <c r="G88" s="103"/>
      <c r="H88" s="132"/>
      <c r="I88" s="101"/>
      <c r="J88" s="103"/>
      <c r="K88" s="17" t="s">
        <v>261</v>
      </c>
      <c r="O88" s="71"/>
    </row>
    <row r="89" spans="1:16">
      <c r="A89" s="106"/>
      <c r="B89" s="110"/>
      <c r="C89" s="114"/>
      <c r="D89" s="130"/>
      <c r="E89" s="132"/>
      <c r="F89" s="101"/>
      <c r="G89" s="103"/>
      <c r="H89" s="132"/>
      <c r="I89" s="101"/>
      <c r="J89" s="103"/>
      <c r="K89" s="17" t="s">
        <v>262</v>
      </c>
      <c r="O89" s="71"/>
    </row>
    <row r="90" spans="1:16">
      <c r="A90" s="106"/>
      <c r="B90" s="110"/>
      <c r="C90" s="114"/>
      <c r="D90" s="130"/>
      <c r="E90" s="132"/>
      <c r="F90" s="101"/>
      <c r="G90" s="103"/>
      <c r="H90" s="132"/>
      <c r="I90" s="101"/>
      <c r="J90" s="103"/>
      <c r="K90" s="17" t="s">
        <v>263</v>
      </c>
      <c r="O90" s="71"/>
    </row>
    <row r="91" spans="1:16">
      <c r="A91" s="106"/>
      <c r="B91" s="110"/>
      <c r="C91" s="114"/>
      <c r="D91" s="130"/>
      <c r="E91" s="132"/>
      <c r="F91" s="101"/>
      <c r="G91" s="103"/>
      <c r="H91" s="132"/>
      <c r="I91" s="101"/>
      <c r="J91" s="103"/>
      <c r="K91" s="17" t="s">
        <v>264</v>
      </c>
      <c r="O91" s="71"/>
    </row>
    <row r="92" spans="1:16">
      <c r="A92" s="106"/>
      <c r="B92" s="110"/>
      <c r="C92" s="114"/>
      <c r="D92" s="130"/>
      <c r="E92" s="132"/>
      <c r="F92" s="101"/>
      <c r="G92" s="103"/>
      <c r="H92" s="132"/>
      <c r="I92" s="101"/>
      <c r="J92" s="103"/>
      <c r="K92" s="17" t="s">
        <v>265</v>
      </c>
      <c r="O92" s="71"/>
    </row>
    <row r="93" spans="1:16">
      <c r="A93" s="106"/>
      <c r="B93" s="110"/>
      <c r="C93" s="114"/>
      <c r="D93" s="130"/>
      <c r="E93" s="132"/>
      <c r="F93" s="101"/>
      <c r="G93" s="103"/>
      <c r="H93" s="132"/>
      <c r="I93" s="101"/>
      <c r="J93" s="103"/>
      <c r="K93" s="17" t="s">
        <v>266</v>
      </c>
      <c r="O93" s="71"/>
    </row>
    <row r="94" spans="1:16">
      <c r="A94" s="106"/>
      <c r="B94" s="110"/>
      <c r="C94" s="114"/>
      <c r="D94" s="130"/>
      <c r="E94" s="132"/>
      <c r="F94" s="101"/>
      <c r="G94" s="103"/>
      <c r="H94" s="132"/>
      <c r="I94" s="101"/>
      <c r="J94" s="103"/>
      <c r="K94" s="17" t="s">
        <v>267</v>
      </c>
      <c r="O94" s="71"/>
    </row>
    <row r="95" spans="1:16">
      <c r="A95" s="106"/>
      <c r="B95" s="110"/>
      <c r="C95" s="114"/>
      <c r="D95" s="93" t="s">
        <v>268</v>
      </c>
      <c r="E95" s="94" t="s">
        <v>269</v>
      </c>
      <c r="F95" s="95">
        <v>0.153</v>
      </c>
      <c r="G95" s="18" t="s">
        <v>270</v>
      </c>
      <c r="H95" s="35" t="s">
        <v>271</v>
      </c>
      <c r="I95" s="36">
        <v>1.95E-2</v>
      </c>
      <c r="J95" s="18" t="s">
        <v>37</v>
      </c>
      <c r="K95" s="19" t="s">
        <v>272</v>
      </c>
      <c r="L95" s="19">
        <v>4</v>
      </c>
      <c r="M95" s="19" t="b">
        <v>1</v>
      </c>
      <c r="N95" s="19" t="b">
        <v>1</v>
      </c>
      <c r="O95" s="58" t="s">
        <v>39</v>
      </c>
    </row>
    <row r="96" spans="1:16">
      <c r="A96" s="106"/>
      <c r="B96" s="110"/>
      <c r="C96" s="114"/>
      <c r="D96" s="93"/>
      <c r="E96" s="94"/>
      <c r="F96" s="95"/>
      <c r="G96" s="18" t="s">
        <v>273</v>
      </c>
      <c r="H96" s="35" t="s">
        <v>274</v>
      </c>
      <c r="I96" s="36">
        <v>1.95E-2</v>
      </c>
      <c r="J96" s="18" t="s">
        <v>37</v>
      </c>
      <c r="K96" s="19" t="s">
        <v>275</v>
      </c>
      <c r="L96" s="19">
        <v>4</v>
      </c>
      <c r="M96" s="19" t="b">
        <v>1</v>
      </c>
      <c r="N96" s="19" t="b">
        <v>1</v>
      </c>
      <c r="O96" s="58" t="s">
        <v>39</v>
      </c>
    </row>
    <row r="97" spans="1:15">
      <c r="A97" s="106"/>
      <c r="B97" s="110"/>
      <c r="C97" s="114"/>
      <c r="D97" s="93"/>
      <c r="E97" s="94"/>
      <c r="F97" s="95"/>
      <c r="G97" s="18" t="s">
        <v>276</v>
      </c>
      <c r="H97" s="35" t="s">
        <v>1022</v>
      </c>
      <c r="I97" s="36">
        <v>9.4999999999999998E-3</v>
      </c>
      <c r="J97" s="18" t="s">
        <v>37</v>
      </c>
      <c r="K97" s="19" t="s">
        <v>1024</v>
      </c>
      <c r="L97" s="19">
        <v>4</v>
      </c>
      <c r="M97" s="19" t="b">
        <v>1</v>
      </c>
      <c r="N97" s="19" t="b">
        <v>1</v>
      </c>
      <c r="O97" s="58" t="s">
        <v>39</v>
      </c>
    </row>
    <row r="98" spans="1:15">
      <c r="A98" s="106"/>
      <c r="B98" s="110"/>
      <c r="C98" s="114"/>
      <c r="D98" s="93"/>
      <c r="E98" s="94"/>
      <c r="F98" s="95"/>
      <c r="G98" s="18" t="s">
        <v>277</v>
      </c>
      <c r="H98" s="35" t="s">
        <v>278</v>
      </c>
      <c r="I98" s="36">
        <v>1.9E-2</v>
      </c>
      <c r="J98" s="18" t="s">
        <v>37</v>
      </c>
      <c r="K98" s="19" t="s">
        <v>279</v>
      </c>
      <c r="L98" s="19">
        <v>3</v>
      </c>
      <c r="M98" s="19" t="b">
        <v>1</v>
      </c>
      <c r="N98" s="19" t="b">
        <v>0</v>
      </c>
      <c r="O98" s="58" t="s">
        <v>117</v>
      </c>
    </row>
    <row r="99" spans="1:15">
      <c r="A99" s="106"/>
      <c r="B99" s="110"/>
      <c r="C99" s="114"/>
      <c r="D99" s="93"/>
      <c r="E99" s="94"/>
      <c r="F99" s="95"/>
      <c r="G99" s="18" t="s">
        <v>280</v>
      </c>
      <c r="H99" s="35" t="s">
        <v>281</v>
      </c>
      <c r="I99" s="36">
        <v>1.9E-2</v>
      </c>
      <c r="J99" s="18" t="s">
        <v>37</v>
      </c>
      <c r="K99" s="19" t="s">
        <v>282</v>
      </c>
      <c r="L99" s="19">
        <v>3</v>
      </c>
      <c r="M99" s="19" t="b">
        <v>1</v>
      </c>
      <c r="N99" s="19" t="b">
        <v>0</v>
      </c>
      <c r="O99" s="58" t="s">
        <v>117</v>
      </c>
    </row>
    <row r="100" spans="1:15">
      <c r="A100" s="106"/>
      <c r="B100" s="110"/>
      <c r="C100" s="114"/>
      <c r="D100" s="93"/>
      <c r="E100" s="94"/>
      <c r="F100" s="95"/>
      <c r="G100" s="18" t="s">
        <v>283</v>
      </c>
      <c r="H100" s="35" t="s">
        <v>284</v>
      </c>
      <c r="I100" s="36">
        <v>1.9E-2</v>
      </c>
      <c r="J100" s="18" t="s">
        <v>37</v>
      </c>
      <c r="K100" s="19" t="s">
        <v>285</v>
      </c>
      <c r="L100" s="19">
        <v>3</v>
      </c>
      <c r="M100" s="19" t="b">
        <v>1</v>
      </c>
      <c r="N100" s="19" t="b">
        <v>0</v>
      </c>
      <c r="O100" s="58" t="s">
        <v>39</v>
      </c>
    </row>
    <row r="101" spans="1:15">
      <c r="A101" s="106"/>
      <c r="B101" s="110"/>
      <c r="C101" s="114"/>
      <c r="D101" s="93"/>
      <c r="E101" s="94"/>
      <c r="F101" s="95"/>
      <c r="G101" s="18" t="s">
        <v>286</v>
      </c>
      <c r="H101" s="35" t="s">
        <v>287</v>
      </c>
      <c r="I101" s="36">
        <v>1.9E-2</v>
      </c>
      <c r="J101" s="18" t="s">
        <v>37</v>
      </c>
      <c r="K101" s="19" t="s">
        <v>288</v>
      </c>
      <c r="L101" s="19">
        <v>3</v>
      </c>
      <c r="M101" s="19" t="b">
        <v>1</v>
      </c>
      <c r="N101" s="19" t="b">
        <v>0</v>
      </c>
      <c r="O101" s="58" t="s">
        <v>39</v>
      </c>
    </row>
    <row r="102" spans="1:15">
      <c r="A102" s="107"/>
      <c r="B102" s="111"/>
      <c r="C102" s="115"/>
      <c r="D102" s="117"/>
      <c r="E102" s="163"/>
      <c r="F102" s="123"/>
      <c r="G102" s="18" t="s">
        <v>289</v>
      </c>
      <c r="H102" s="35" t="s">
        <v>290</v>
      </c>
      <c r="I102" s="36">
        <v>1.9E-2</v>
      </c>
      <c r="J102" s="18" t="s">
        <v>37</v>
      </c>
      <c r="K102" s="19" t="s">
        <v>291</v>
      </c>
      <c r="L102" s="19">
        <v>4</v>
      </c>
      <c r="M102" s="19" t="b">
        <v>1</v>
      </c>
      <c r="N102" s="19" t="b">
        <v>1</v>
      </c>
      <c r="O102" s="58" t="s">
        <v>39</v>
      </c>
    </row>
    <row r="103" spans="1:15" ht="16.149999999999999" thickBot="1">
      <c r="A103" s="108"/>
      <c r="B103" s="112"/>
      <c r="C103" s="116"/>
      <c r="D103" s="146"/>
      <c r="E103" s="147"/>
      <c r="F103" s="148"/>
      <c r="G103" s="18" t="s">
        <v>1026</v>
      </c>
      <c r="H103" s="52" t="s">
        <v>1023</v>
      </c>
      <c r="I103" s="53">
        <v>9.4999999999999998E-3</v>
      </c>
      <c r="J103" s="18" t="s">
        <v>37</v>
      </c>
      <c r="K103" s="19" t="s">
        <v>1025</v>
      </c>
      <c r="L103" s="19">
        <v>4</v>
      </c>
      <c r="M103" s="19" t="b">
        <v>1</v>
      </c>
      <c r="N103" s="19" t="b">
        <v>1</v>
      </c>
      <c r="O103" s="58" t="s">
        <v>39</v>
      </c>
    </row>
    <row r="104" spans="1:15">
      <c r="A104" s="105" t="s">
        <v>292</v>
      </c>
      <c r="B104" s="109" t="s">
        <v>293</v>
      </c>
      <c r="C104" s="113">
        <v>0.26</v>
      </c>
      <c r="D104" s="126" t="s">
        <v>294</v>
      </c>
      <c r="E104" s="128" t="s">
        <v>295</v>
      </c>
      <c r="F104" s="91">
        <v>0.27</v>
      </c>
      <c r="G104" s="134" t="s">
        <v>296</v>
      </c>
      <c r="H104" s="128" t="s">
        <v>297</v>
      </c>
      <c r="I104" s="91">
        <v>0.1</v>
      </c>
      <c r="J104" s="134" t="s">
        <v>21</v>
      </c>
      <c r="K104" s="12" t="s">
        <v>298</v>
      </c>
      <c r="L104" s="13"/>
      <c r="M104" s="13"/>
      <c r="N104" s="13"/>
      <c r="O104" s="73"/>
    </row>
    <row r="105" spans="1:15">
      <c r="A105" s="106"/>
      <c r="B105" s="110"/>
      <c r="C105" s="114"/>
      <c r="D105" s="127"/>
      <c r="E105" s="129"/>
      <c r="F105" s="92"/>
      <c r="G105" s="135"/>
      <c r="H105" s="129"/>
      <c r="I105" s="92"/>
      <c r="J105" s="135"/>
      <c r="K105" s="15" t="s">
        <v>299</v>
      </c>
      <c r="O105" s="71"/>
    </row>
    <row r="106" spans="1:15">
      <c r="A106" s="106"/>
      <c r="B106" s="110"/>
      <c r="C106" s="114"/>
      <c r="D106" s="127"/>
      <c r="E106" s="129"/>
      <c r="F106" s="92"/>
      <c r="G106" s="135"/>
      <c r="H106" s="129"/>
      <c r="I106" s="92"/>
      <c r="J106" s="135"/>
      <c r="K106" s="15" t="s">
        <v>300</v>
      </c>
      <c r="O106" s="71"/>
    </row>
    <row r="107" spans="1:15">
      <c r="A107" s="106"/>
      <c r="B107" s="110"/>
      <c r="C107" s="114"/>
      <c r="D107" s="127"/>
      <c r="E107" s="129"/>
      <c r="F107" s="92"/>
      <c r="G107" s="50" t="s">
        <v>301</v>
      </c>
      <c r="H107" s="40" t="s">
        <v>302</v>
      </c>
      <c r="I107" s="42">
        <v>0.1</v>
      </c>
      <c r="J107" s="50" t="s">
        <v>21</v>
      </c>
      <c r="K107" s="15" t="s">
        <v>302</v>
      </c>
      <c r="O107" s="71"/>
    </row>
    <row r="108" spans="1:15">
      <c r="A108" s="106"/>
      <c r="B108" s="110"/>
      <c r="C108" s="114"/>
      <c r="D108" s="127"/>
      <c r="E108" s="129"/>
      <c r="F108" s="92"/>
      <c r="G108" s="50" t="s">
        <v>303</v>
      </c>
      <c r="H108" s="40" t="s">
        <v>299</v>
      </c>
      <c r="I108" s="42">
        <v>7.0000000000000007E-2</v>
      </c>
      <c r="J108" s="50" t="s">
        <v>21</v>
      </c>
      <c r="K108" s="15" t="s">
        <v>299</v>
      </c>
      <c r="O108" s="71"/>
    </row>
    <row r="109" spans="1:15">
      <c r="A109" s="106"/>
      <c r="B109" s="110"/>
      <c r="C109" s="114"/>
      <c r="D109" s="106" t="s">
        <v>304</v>
      </c>
      <c r="E109" s="153" t="s">
        <v>305</v>
      </c>
      <c r="F109" s="114">
        <v>0.19</v>
      </c>
      <c r="G109" s="18" t="s">
        <v>306</v>
      </c>
      <c r="H109" s="59" t="s">
        <v>307</v>
      </c>
      <c r="I109" s="36">
        <v>9.5000000000000001E-2</v>
      </c>
      <c r="J109" s="18" t="s">
        <v>37</v>
      </c>
      <c r="K109" s="19" t="s">
        <v>308</v>
      </c>
      <c r="L109" s="19">
        <v>3</v>
      </c>
      <c r="M109" s="19" t="b">
        <v>1</v>
      </c>
      <c r="N109" s="19" t="b">
        <v>0</v>
      </c>
      <c r="O109" s="58" t="s">
        <v>85</v>
      </c>
    </row>
    <row r="110" spans="1:15">
      <c r="A110" s="106"/>
      <c r="B110" s="110"/>
      <c r="C110" s="114"/>
      <c r="D110" s="106"/>
      <c r="E110" s="153"/>
      <c r="F110" s="114"/>
      <c r="G110" s="103" t="s">
        <v>309</v>
      </c>
      <c r="H110" s="132" t="s">
        <v>305</v>
      </c>
      <c r="I110" s="101">
        <v>9.5000000000000001E-2</v>
      </c>
      <c r="J110" s="103" t="s">
        <v>29</v>
      </c>
      <c r="K110" s="17" t="s">
        <v>310</v>
      </c>
      <c r="O110" s="71"/>
    </row>
    <row r="111" spans="1:15">
      <c r="A111" s="106"/>
      <c r="B111" s="110"/>
      <c r="C111" s="114"/>
      <c r="D111" s="106"/>
      <c r="E111" s="153"/>
      <c r="F111" s="114"/>
      <c r="G111" s="103"/>
      <c r="H111" s="132"/>
      <c r="I111" s="101"/>
      <c r="J111" s="103"/>
      <c r="K111" s="17" t="s">
        <v>89</v>
      </c>
      <c r="O111" s="71"/>
    </row>
    <row r="112" spans="1:15">
      <c r="A112" s="106"/>
      <c r="B112" s="110"/>
      <c r="C112" s="114"/>
      <c r="D112" s="106"/>
      <c r="E112" s="153"/>
      <c r="F112" s="114"/>
      <c r="G112" s="103"/>
      <c r="H112" s="132"/>
      <c r="I112" s="101"/>
      <c r="J112" s="103"/>
      <c r="K112" s="17" t="s">
        <v>311</v>
      </c>
      <c r="O112" s="71"/>
    </row>
    <row r="113" spans="1:15">
      <c r="A113" s="106"/>
      <c r="B113" s="110"/>
      <c r="C113" s="114"/>
      <c r="D113" s="93" t="s">
        <v>312</v>
      </c>
      <c r="E113" s="94" t="s">
        <v>313</v>
      </c>
      <c r="F113" s="95">
        <v>0.23</v>
      </c>
      <c r="G113" s="18" t="s">
        <v>314</v>
      </c>
      <c r="H113" s="35" t="s">
        <v>315</v>
      </c>
      <c r="I113" s="36">
        <v>4.5999999999999999E-2</v>
      </c>
      <c r="J113" s="18" t="s">
        <v>37</v>
      </c>
      <c r="K113" s="19" t="s">
        <v>316</v>
      </c>
      <c r="L113" s="19">
        <v>3</v>
      </c>
      <c r="M113" s="19" t="b">
        <v>1</v>
      </c>
      <c r="N113" s="19" t="b">
        <v>0</v>
      </c>
      <c r="O113" s="58" t="s">
        <v>39</v>
      </c>
    </row>
    <row r="114" spans="1:15">
      <c r="A114" s="106"/>
      <c r="B114" s="110"/>
      <c r="C114" s="114"/>
      <c r="D114" s="93"/>
      <c r="E114" s="94"/>
      <c r="F114" s="95"/>
      <c r="G114" s="18" t="s">
        <v>317</v>
      </c>
      <c r="H114" s="35" t="s">
        <v>318</v>
      </c>
      <c r="I114" s="36">
        <v>4.5999999999999999E-2</v>
      </c>
      <c r="J114" s="18" t="s">
        <v>37</v>
      </c>
      <c r="K114" s="19" t="s">
        <v>319</v>
      </c>
      <c r="L114" s="19">
        <v>3</v>
      </c>
      <c r="M114" s="19" t="b">
        <v>1</v>
      </c>
      <c r="N114" s="19" t="b">
        <v>0</v>
      </c>
      <c r="O114" s="58" t="s">
        <v>39</v>
      </c>
    </row>
    <row r="115" spans="1:15">
      <c r="A115" s="106"/>
      <c r="B115" s="110"/>
      <c r="C115" s="114"/>
      <c r="D115" s="93"/>
      <c r="E115" s="94"/>
      <c r="F115" s="95"/>
      <c r="G115" s="18" t="s">
        <v>320</v>
      </c>
      <c r="H115" s="35" t="s">
        <v>321</v>
      </c>
      <c r="I115" s="36">
        <v>4.5999999999999999E-2</v>
      </c>
      <c r="J115" s="18" t="s">
        <v>37</v>
      </c>
      <c r="K115" s="19" t="s">
        <v>322</v>
      </c>
      <c r="L115" s="19">
        <v>3</v>
      </c>
      <c r="M115" s="19" t="b">
        <v>1</v>
      </c>
      <c r="N115" s="19" t="b">
        <v>0</v>
      </c>
      <c r="O115" s="58" t="s">
        <v>39</v>
      </c>
    </row>
    <row r="116" spans="1:15">
      <c r="A116" s="106"/>
      <c r="B116" s="110"/>
      <c r="C116" s="114"/>
      <c r="D116" s="93"/>
      <c r="E116" s="94"/>
      <c r="F116" s="95"/>
      <c r="G116" s="18" t="s">
        <v>323</v>
      </c>
      <c r="H116" s="35" t="s">
        <v>324</v>
      </c>
      <c r="I116" s="36">
        <v>4.5999999999999999E-2</v>
      </c>
      <c r="J116" s="18" t="s">
        <v>37</v>
      </c>
      <c r="K116" s="19" t="s">
        <v>325</v>
      </c>
      <c r="L116" s="19">
        <v>3</v>
      </c>
      <c r="M116" s="19" t="b">
        <v>1</v>
      </c>
      <c r="N116" s="19" t="b">
        <v>0</v>
      </c>
      <c r="O116" s="58" t="s">
        <v>39</v>
      </c>
    </row>
    <row r="117" spans="1:15">
      <c r="A117" s="106"/>
      <c r="B117" s="110"/>
      <c r="C117" s="114"/>
      <c r="D117" s="93"/>
      <c r="E117" s="94"/>
      <c r="F117" s="95"/>
      <c r="G117" s="18" t="s">
        <v>326</v>
      </c>
      <c r="H117" s="35" t="s">
        <v>327</v>
      </c>
      <c r="I117" s="36">
        <v>4.5999999999999999E-2</v>
      </c>
      <c r="J117" s="18" t="s">
        <v>37</v>
      </c>
      <c r="K117" s="19" t="s">
        <v>328</v>
      </c>
      <c r="L117" s="19">
        <v>3</v>
      </c>
      <c r="M117" s="19" t="b">
        <v>1</v>
      </c>
      <c r="N117" s="19" t="b">
        <v>0</v>
      </c>
      <c r="O117" s="58" t="s">
        <v>39</v>
      </c>
    </row>
    <row r="118" spans="1:15">
      <c r="A118" s="106"/>
      <c r="B118" s="110"/>
      <c r="C118" s="114"/>
      <c r="D118" s="93" t="s">
        <v>329</v>
      </c>
      <c r="E118" s="94" t="s">
        <v>330</v>
      </c>
      <c r="F118" s="95">
        <v>0.12</v>
      </c>
      <c r="G118" s="18" t="s">
        <v>331</v>
      </c>
      <c r="H118" s="35" t="s">
        <v>332</v>
      </c>
      <c r="I118" s="36">
        <v>0.06</v>
      </c>
      <c r="J118" s="18" t="s">
        <v>37</v>
      </c>
      <c r="K118" s="19" t="s">
        <v>333</v>
      </c>
      <c r="L118" s="19">
        <v>4</v>
      </c>
      <c r="M118" s="19" t="b">
        <v>1</v>
      </c>
      <c r="N118" s="19" t="b">
        <v>1</v>
      </c>
      <c r="O118" s="58" t="s">
        <v>39</v>
      </c>
    </row>
    <row r="119" spans="1:15">
      <c r="A119" s="106"/>
      <c r="B119" s="110"/>
      <c r="C119" s="114"/>
      <c r="D119" s="93"/>
      <c r="E119" s="94"/>
      <c r="F119" s="95"/>
      <c r="G119" s="18" t="s">
        <v>334</v>
      </c>
      <c r="H119" s="35" t="s">
        <v>335</v>
      </c>
      <c r="I119" s="36">
        <v>0.06</v>
      </c>
      <c r="J119" s="18" t="s">
        <v>37</v>
      </c>
      <c r="K119" s="19" t="s">
        <v>336</v>
      </c>
      <c r="L119" s="19">
        <v>3</v>
      </c>
      <c r="M119" s="19" t="b">
        <v>1</v>
      </c>
      <c r="N119" s="19" t="b">
        <v>0</v>
      </c>
      <c r="O119" s="58" t="s">
        <v>39</v>
      </c>
    </row>
    <row r="120" spans="1:15">
      <c r="A120" s="106"/>
      <c r="B120" s="110"/>
      <c r="C120" s="114"/>
      <c r="D120" s="93" t="s">
        <v>337</v>
      </c>
      <c r="E120" s="94" t="s">
        <v>338</v>
      </c>
      <c r="F120" s="95">
        <v>0.19</v>
      </c>
      <c r="G120" s="18" t="s">
        <v>339</v>
      </c>
      <c r="H120" s="35" t="s">
        <v>340</v>
      </c>
      <c r="I120" s="36">
        <v>3.7999999999999999E-2</v>
      </c>
      <c r="J120" s="18" t="s">
        <v>37</v>
      </c>
      <c r="K120" s="19" t="s">
        <v>341</v>
      </c>
      <c r="L120" s="19">
        <v>3</v>
      </c>
      <c r="M120" s="19" t="b">
        <v>1</v>
      </c>
      <c r="N120" s="19" t="b">
        <v>0</v>
      </c>
      <c r="O120" s="58" t="s">
        <v>117</v>
      </c>
    </row>
    <row r="121" spans="1:15">
      <c r="A121" s="106"/>
      <c r="B121" s="110"/>
      <c r="C121" s="114"/>
      <c r="D121" s="93"/>
      <c r="E121" s="94"/>
      <c r="F121" s="95"/>
      <c r="G121" s="18" t="s">
        <v>343</v>
      </c>
      <c r="H121" s="35" t="s">
        <v>344</v>
      </c>
      <c r="I121" s="36">
        <v>3.7999999999999999E-2</v>
      </c>
      <c r="J121" s="18" t="s">
        <v>37</v>
      </c>
      <c r="K121" s="19" t="s">
        <v>345</v>
      </c>
      <c r="L121" s="19">
        <v>3</v>
      </c>
      <c r="M121" s="19" t="b">
        <v>1</v>
      </c>
      <c r="N121" s="19" t="b">
        <v>0</v>
      </c>
      <c r="O121" s="58" t="s">
        <v>39</v>
      </c>
    </row>
    <row r="122" spans="1:15">
      <c r="A122" s="106"/>
      <c r="B122" s="110"/>
      <c r="C122" s="114"/>
      <c r="D122" s="93"/>
      <c r="E122" s="94"/>
      <c r="F122" s="95"/>
      <c r="G122" s="18" t="s">
        <v>346</v>
      </c>
      <c r="H122" s="35" t="s">
        <v>347</v>
      </c>
      <c r="I122" s="36">
        <v>3.7999999999999999E-2</v>
      </c>
      <c r="J122" s="18" t="s">
        <v>37</v>
      </c>
      <c r="K122" s="19" t="s">
        <v>348</v>
      </c>
      <c r="L122" s="19">
        <v>3</v>
      </c>
      <c r="M122" s="19" t="b">
        <v>1</v>
      </c>
      <c r="N122" s="19" t="b">
        <v>0</v>
      </c>
      <c r="O122" s="58" t="s">
        <v>39</v>
      </c>
    </row>
    <row r="123" spans="1:15">
      <c r="A123" s="107"/>
      <c r="B123" s="111"/>
      <c r="C123" s="115"/>
      <c r="D123" s="117"/>
      <c r="E123" s="163"/>
      <c r="F123" s="123"/>
      <c r="G123" s="18" t="s">
        <v>349</v>
      </c>
      <c r="H123" s="35" t="s">
        <v>350</v>
      </c>
      <c r="I123" s="36">
        <v>3.7999999999999999E-2</v>
      </c>
      <c r="J123" s="18" t="s">
        <v>37</v>
      </c>
      <c r="K123" s="19" t="s">
        <v>351</v>
      </c>
      <c r="L123" s="19">
        <v>3</v>
      </c>
      <c r="M123" s="19" t="b">
        <v>1</v>
      </c>
      <c r="N123" s="19" t="b">
        <v>0</v>
      </c>
      <c r="O123" s="58" t="s">
        <v>68</v>
      </c>
    </row>
    <row r="124" spans="1:15">
      <c r="A124" s="107"/>
      <c r="B124" s="111"/>
      <c r="C124" s="115"/>
      <c r="D124" s="117"/>
      <c r="E124" s="163"/>
      <c r="F124" s="123"/>
      <c r="G124" s="18" t="s">
        <v>1027</v>
      </c>
      <c r="H124" s="35" t="s">
        <v>1029</v>
      </c>
      <c r="I124" s="36">
        <v>1.9E-2</v>
      </c>
      <c r="J124" s="18" t="s">
        <v>37</v>
      </c>
      <c r="K124" s="19" t="s">
        <v>1031</v>
      </c>
      <c r="L124" s="19">
        <v>3</v>
      </c>
      <c r="M124" s="19" t="b">
        <v>1</v>
      </c>
      <c r="N124" s="19" t="b">
        <v>0</v>
      </c>
      <c r="O124" s="58" t="s">
        <v>342</v>
      </c>
    </row>
    <row r="125" spans="1:15" ht="16.149999999999999" thickBot="1">
      <c r="A125" s="108"/>
      <c r="B125" s="112"/>
      <c r="C125" s="116"/>
      <c r="D125" s="146"/>
      <c r="E125" s="147"/>
      <c r="F125" s="148"/>
      <c r="G125" s="18" t="s">
        <v>1028</v>
      </c>
      <c r="H125" s="52" t="s">
        <v>1030</v>
      </c>
      <c r="I125" s="53">
        <v>1.9E-2</v>
      </c>
      <c r="J125" s="18" t="s">
        <v>37</v>
      </c>
      <c r="K125" s="19" t="s">
        <v>1032</v>
      </c>
      <c r="L125" s="19">
        <v>3</v>
      </c>
      <c r="M125" s="19" t="b">
        <v>1</v>
      </c>
      <c r="N125" s="19" t="b">
        <v>0</v>
      </c>
      <c r="O125" s="58" t="s">
        <v>342</v>
      </c>
    </row>
    <row r="126" spans="1:15">
      <c r="A126" s="105" t="s">
        <v>352</v>
      </c>
      <c r="B126" s="109" t="s">
        <v>353</v>
      </c>
      <c r="C126" s="113">
        <v>0.26</v>
      </c>
      <c r="D126" s="126" t="s">
        <v>354</v>
      </c>
      <c r="E126" s="128" t="s">
        <v>355</v>
      </c>
      <c r="F126" s="91">
        <v>0.27</v>
      </c>
      <c r="G126" s="134" t="s">
        <v>356</v>
      </c>
      <c r="H126" s="128" t="s">
        <v>357</v>
      </c>
      <c r="I126" s="91">
        <v>0.1</v>
      </c>
      <c r="J126" s="134" t="s">
        <v>21</v>
      </c>
      <c r="K126" s="12" t="s">
        <v>358</v>
      </c>
      <c r="L126" s="13"/>
      <c r="M126" s="13"/>
      <c r="N126" s="13"/>
      <c r="O126" s="73"/>
    </row>
    <row r="127" spans="1:15">
      <c r="A127" s="106"/>
      <c r="B127" s="110"/>
      <c r="C127" s="114"/>
      <c r="D127" s="127"/>
      <c r="E127" s="129"/>
      <c r="F127" s="92"/>
      <c r="G127" s="135"/>
      <c r="H127" s="129"/>
      <c r="I127" s="92"/>
      <c r="J127" s="135"/>
      <c r="K127" s="15" t="s">
        <v>359</v>
      </c>
      <c r="O127" s="71"/>
    </row>
    <row r="128" spans="1:15">
      <c r="A128" s="106"/>
      <c r="B128" s="110"/>
      <c r="C128" s="114"/>
      <c r="D128" s="127"/>
      <c r="E128" s="129"/>
      <c r="F128" s="92"/>
      <c r="G128" s="135"/>
      <c r="H128" s="129"/>
      <c r="I128" s="92"/>
      <c r="J128" s="135"/>
      <c r="K128" s="15" t="s">
        <v>360</v>
      </c>
      <c r="O128" s="71"/>
    </row>
    <row r="129" spans="1:15">
      <c r="A129" s="106"/>
      <c r="B129" s="110"/>
      <c r="C129" s="114"/>
      <c r="D129" s="127"/>
      <c r="E129" s="129"/>
      <c r="F129" s="92"/>
      <c r="G129" s="50" t="s">
        <v>361</v>
      </c>
      <c r="H129" s="40" t="s">
        <v>362</v>
      </c>
      <c r="I129" s="42">
        <v>0.1</v>
      </c>
      <c r="J129" s="50" t="s">
        <v>21</v>
      </c>
      <c r="K129" s="15" t="s">
        <v>362</v>
      </c>
      <c r="O129" s="71"/>
    </row>
    <row r="130" spans="1:15">
      <c r="A130" s="106"/>
      <c r="B130" s="110"/>
      <c r="C130" s="114"/>
      <c r="D130" s="127"/>
      <c r="E130" s="129"/>
      <c r="F130" s="92"/>
      <c r="G130" s="50" t="s">
        <v>363</v>
      </c>
      <c r="H130" s="40" t="s">
        <v>359</v>
      </c>
      <c r="I130" s="42">
        <v>7.0000000000000007E-2</v>
      </c>
      <c r="J130" s="50" t="s">
        <v>21</v>
      </c>
      <c r="K130" s="15" t="s">
        <v>359</v>
      </c>
      <c r="O130" s="71"/>
    </row>
    <row r="131" spans="1:15">
      <c r="A131" s="106"/>
      <c r="B131" s="110"/>
      <c r="C131" s="114"/>
      <c r="D131" s="93" t="s">
        <v>364</v>
      </c>
      <c r="E131" s="94" t="s">
        <v>365</v>
      </c>
      <c r="F131" s="95">
        <v>0.23</v>
      </c>
      <c r="G131" s="18" t="s">
        <v>366</v>
      </c>
      <c r="H131" s="35" t="s">
        <v>367</v>
      </c>
      <c r="I131" s="36">
        <v>3.85E-2</v>
      </c>
      <c r="J131" s="18" t="s">
        <v>37</v>
      </c>
      <c r="K131" s="19" t="s">
        <v>368</v>
      </c>
      <c r="L131" s="19">
        <v>4</v>
      </c>
      <c r="M131" s="19" t="b">
        <v>1</v>
      </c>
      <c r="N131" s="19" t="b">
        <v>1</v>
      </c>
      <c r="O131" s="58" t="s">
        <v>39</v>
      </c>
    </row>
    <row r="132" spans="1:15">
      <c r="A132" s="106"/>
      <c r="B132" s="110"/>
      <c r="C132" s="114"/>
      <c r="D132" s="93"/>
      <c r="E132" s="94"/>
      <c r="F132" s="95"/>
      <c r="G132" s="18" t="s">
        <v>369</v>
      </c>
      <c r="H132" s="35" t="s">
        <v>370</v>
      </c>
      <c r="I132" s="36">
        <v>3.85E-2</v>
      </c>
      <c r="J132" s="18" t="s">
        <v>37</v>
      </c>
      <c r="K132" s="19" t="s">
        <v>371</v>
      </c>
      <c r="L132" s="19">
        <v>3</v>
      </c>
      <c r="M132" s="19" t="b">
        <v>1</v>
      </c>
      <c r="N132" s="19" t="b">
        <v>0</v>
      </c>
      <c r="O132" s="58" t="s">
        <v>39</v>
      </c>
    </row>
    <row r="133" spans="1:15">
      <c r="A133" s="106"/>
      <c r="B133" s="110"/>
      <c r="C133" s="114"/>
      <c r="D133" s="93"/>
      <c r="E133" s="94"/>
      <c r="F133" s="95"/>
      <c r="G133" s="18" t="s">
        <v>372</v>
      </c>
      <c r="H133" s="35" t="s">
        <v>373</v>
      </c>
      <c r="I133" s="36">
        <v>3.85E-2</v>
      </c>
      <c r="J133" s="18" t="s">
        <v>37</v>
      </c>
      <c r="K133" s="19" t="s">
        <v>374</v>
      </c>
      <c r="L133" s="19">
        <v>3</v>
      </c>
      <c r="M133" s="19" t="b">
        <v>1</v>
      </c>
      <c r="N133" s="19" t="b">
        <v>0</v>
      </c>
      <c r="O133" s="58" t="s">
        <v>39</v>
      </c>
    </row>
    <row r="134" spans="1:15">
      <c r="A134" s="106"/>
      <c r="B134" s="110"/>
      <c r="C134" s="114"/>
      <c r="D134" s="93"/>
      <c r="E134" s="94"/>
      <c r="F134" s="95"/>
      <c r="G134" s="18" t="s">
        <v>375</v>
      </c>
      <c r="H134" s="35" t="s">
        <v>376</v>
      </c>
      <c r="I134" s="36">
        <v>3.85E-2</v>
      </c>
      <c r="J134" s="18" t="s">
        <v>37</v>
      </c>
      <c r="K134" s="19" t="s">
        <v>377</v>
      </c>
      <c r="L134" s="19">
        <v>3</v>
      </c>
      <c r="M134" s="19" t="b">
        <v>1</v>
      </c>
      <c r="N134" s="19" t="b">
        <v>0</v>
      </c>
      <c r="O134" s="58" t="s">
        <v>39</v>
      </c>
    </row>
    <row r="135" spans="1:15">
      <c r="A135" s="106"/>
      <c r="B135" s="110"/>
      <c r="C135" s="114"/>
      <c r="D135" s="93"/>
      <c r="E135" s="94"/>
      <c r="F135" s="95"/>
      <c r="G135" s="18" t="s">
        <v>378</v>
      </c>
      <c r="H135" s="35" t="s">
        <v>379</v>
      </c>
      <c r="I135" s="36">
        <v>3.7999999999999999E-2</v>
      </c>
      <c r="J135" s="18" t="s">
        <v>37</v>
      </c>
      <c r="K135" s="19" t="s">
        <v>380</v>
      </c>
      <c r="L135" s="19">
        <v>3</v>
      </c>
      <c r="M135" s="19" t="b">
        <v>1</v>
      </c>
      <c r="N135" s="19" t="b">
        <v>0</v>
      </c>
      <c r="O135" s="58" t="s">
        <v>39</v>
      </c>
    </row>
    <row r="136" spans="1:15">
      <c r="A136" s="106"/>
      <c r="B136" s="110"/>
      <c r="C136" s="114"/>
      <c r="D136" s="93"/>
      <c r="E136" s="94"/>
      <c r="F136" s="95"/>
      <c r="G136" s="18" t="s">
        <v>381</v>
      </c>
      <c r="H136" s="35" t="s">
        <v>382</v>
      </c>
      <c r="I136" s="36">
        <v>3.7999999999999999E-2</v>
      </c>
      <c r="J136" s="18" t="s">
        <v>37</v>
      </c>
      <c r="K136" s="19" t="s">
        <v>383</v>
      </c>
      <c r="L136" s="19">
        <v>4</v>
      </c>
      <c r="M136" s="19" t="b">
        <v>1</v>
      </c>
      <c r="N136" s="19" t="b">
        <v>1</v>
      </c>
      <c r="O136" s="58" t="s">
        <v>39</v>
      </c>
    </row>
    <row r="137" spans="1:15">
      <c r="A137" s="106"/>
      <c r="B137" s="110"/>
      <c r="C137" s="114"/>
      <c r="D137" s="130" t="s">
        <v>384</v>
      </c>
      <c r="E137" s="132" t="s">
        <v>385</v>
      </c>
      <c r="F137" s="101">
        <v>0.17</v>
      </c>
      <c r="G137" s="103" t="s">
        <v>386</v>
      </c>
      <c r="H137" s="132" t="s">
        <v>387</v>
      </c>
      <c r="I137" s="103">
        <v>0.17</v>
      </c>
      <c r="J137" s="103" t="s">
        <v>29</v>
      </c>
      <c r="K137" s="17" t="s">
        <v>388</v>
      </c>
      <c r="O137" s="71"/>
    </row>
    <row r="138" spans="1:15">
      <c r="A138" s="106"/>
      <c r="B138" s="110"/>
      <c r="C138" s="114"/>
      <c r="D138" s="130"/>
      <c r="E138" s="132"/>
      <c r="F138" s="101"/>
      <c r="G138" s="103"/>
      <c r="H138" s="132"/>
      <c r="I138" s="103"/>
      <c r="J138" s="103"/>
      <c r="K138" s="17" t="s">
        <v>389</v>
      </c>
      <c r="O138" s="71"/>
    </row>
    <row r="139" spans="1:15">
      <c r="A139" s="106"/>
      <c r="B139" s="110"/>
      <c r="C139" s="114"/>
      <c r="D139" s="130"/>
      <c r="E139" s="132"/>
      <c r="F139" s="101"/>
      <c r="G139" s="103"/>
      <c r="H139" s="132"/>
      <c r="I139" s="103"/>
      <c r="J139" s="103"/>
      <c r="K139" s="17" t="s">
        <v>390</v>
      </c>
      <c r="O139" s="71"/>
    </row>
    <row r="140" spans="1:15">
      <c r="A140" s="106"/>
      <c r="B140" s="110"/>
      <c r="C140" s="114"/>
      <c r="D140" s="117" t="s">
        <v>391</v>
      </c>
      <c r="E140" s="117" t="s">
        <v>392</v>
      </c>
      <c r="F140" s="117">
        <v>0.23</v>
      </c>
      <c r="G140" s="18" t="s">
        <v>393</v>
      </c>
      <c r="H140" s="35" t="s">
        <v>394</v>
      </c>
      <c r="I140" s="36">
        <v>4.5999999999999999E-2</v>
      </c>
      <c r="J140" s="18" t="s">
        <v>37</v>
      </c>
      <c r="K140" s="19" t="s">
        <v>395</v>
      </c>
      <c r="L140" s="19">
        <v>3</v>
      </c>
      <c r="M140" s="19" t="b">
        <v>1</v>
      </c>
      <c r="N140" s="19" t="b">
        <v>0</v>
      </c>
      <c r="O140" s="58" t="s">
        <v>39</v>
      </c>
    </row>
    <row r="141" spans="1:15">
      <c r="A141" s="106"/>
      <c r="B141" s="110"/>
      <c r="C141" s="114"/>
      <c r="D141" s="118"/>
      <c r="E141" s="118"/>
      <c r="F141" s="118"/>
      <c r="G141" s="18" t="s">
        <v>396</v>
      </c>
      <c r="H141" s="35" t="s">
        <v>397</v>
      </c>
      <c r="I141" s="36">
        <v>4.5999999999999999E-2</v>
      </c>
      <c r="J141" s="18" t="s">
        <v>37</v>
      </c>
      <c r="K141" s="19" t="s">
        <v>398</v>
      </c>
      <c r="L141" s="19">
        <v>3</v>
      </c>
      <c r="M141" s="19" t="b">
        <v>1</v>
      </c>
      <c r="N141" s="19" t="b">
        <v>0</v>
      </c>
      <c r="O141" s="58" t="s">
        <v>39</v>
      </c>
    </row>
    <row r="142" spans="1:15">
      <c r="A142" s="106"/>
      <c r="B142" s="110"/>
      <c r="C142" s="114"/>
      <c r="D142" s="118"/>
      <c r="E142" s="118"/>
      <c r="F142" s="118"/>
      <c r="G142" s="18" t="s">
        <v>399</v>
      </c>
      <c r="H142" s="35" t="s">
        <v>400</v>
      </c>
      <c r="I142" s="36">
        <v>4.5999999999999999E-2</v>
      </c>
      <c r="J142" s="18" t="s">
        <v>37</v>
      </c>
      <c r="K142" s="19" t="s">
        <v>401</v>
      </c>
      <c r="L142" s="19">
        <v>3</v>
      </c>
      <c r="M142" s="19" t="b">
        <v>1</v>
      </c>
      <c r="N142" s="19" t="b">
        <v>0</v>
      </c>
      <c r="O142" s="58" t="s">
        <v>117</v>
      </c>
    </row>
    <row r="143" spans="1:15">
      <c r="A143" s="106"/>
      <c r="B143" s="110"/>
      <c r="C143" s="114"/>
      <c r="D143" s="118"/>
      <c r="E143" s="118"/>
      <c r="F143" s="118"/>
      <c r="G143" s="18" t="s">
        <v>402</v>
      </c>
      <c r="H143" s="35" t="s">
        <v>403</v>
      </c>
      <c r="I143" s="36">
        <v>4.5999999999999999E-2</v>
      </c>
      <c r="J143" s="18" t="s">
        <v>37</v>
      </c>
      <c r="K143" s="19" t="s">
        <v>404</v>
      </c>
      <c r="L143" s="19">
        <v>3</v>
      </c>
      <c r="M143" s="19" t="b">
        <v>1</v>
      </c>
      <c r="N143" s="19" t="b">
        <v>0</v>
      </c>
      <c r="O143" s="58" t="s">
        <v>68</v>
      </c>
    </row>
    <row r="144" spans="1:15">
      <c r="A144" s="107"/>
      <c r="B144" s="111"/>
      <c r="C144" s="115"/>
      <c r="D144" s="171"/>
      <c r="E144" s="171"/>
      <c r="F144" s="171"/>
      <c r="G144" s="18" t="s">
        <v>405</v>
      </c>
      <c r="H144" s="35" t="s">
        <v>406</v>
      </c>
      <c r="I144" s="36">
        <v>4.5999999999999999E-2</v>
      </c>
      <c r="J144" s="18" t="s">
        <v>37</v>
      </c>
      <c r="K144" s="19" t="s">
        <v>407</v>
      </c>
      <c r="L144" s="19">
        <v>3</v>
      </c>
      <c r="M144" s="19" t="b">
        <v>1</v>
      </c>
      <c r="N144" s="19" t="b">
        <v>0</v>
      </c>
      <c r="O144" s="58" t="s">
        <v>39</v>
      </c>
    </row>
    <row r="145" spans="1:15">
      <c r="A145" s="107"/>
      <c r="B145" s="111"/>
      <c r="C145" s="115"/>
      <c r="D145" s="172">
        <v>7.5</v>
      </c>
      <c r="E145" s="172" t="s">
        <v>705</v>
      </c>
      <c r="F145" s="172">
        <v>0.1</v>
      </c>
      <c r="G145" s="172" t="s">
        <v>1033</v>
      </c>
      <c r="H145" s="172" t="s">
        <v>705</v>
      </c>
      <c r="I145" s="172">
        <v>0.1</v>
      </c>
      <c r="J145" s="172" t="s">
        <v>29</v>
      </c>
      <c r="K145" s="87" t="s">
        <v>1034</v>
      </c>
      <c r="O145" s="71"/>
    </row>
    <row r="146" spans="1:15" ht="16.149999999999999" thickBot="1">
      <c r="A146" s="108"/>
      <c r="B146" s="112"/>
      <c r="C146" s="116"/>
      <c r="D146" s="173"/>
      <c r="E146" s="173"/>
      <c r="F146" s="173"/>
      <c r="G146" s="173"/>
      <c r="H146" s="173"/>
      <c r="I146" s="173"/>
      <c r="J146" s="173"/>
      <c r="K146" s="88" t="s">
        <v>1035</v>
      </c>
      <c r="O146" s="71"/>
    </row>
    <row r="147" spans="1:15">
      <c r="A147" s="105" t="s">
        <v>408</v>
      </c>
      <c r="B147" s="109" t="s">
        <v>409</v>
      </c>
      <c r="C147" s="113">
        <v>0.26</v>
      </c>
      <c r="D147" s="126" t="s">
        <v>410</v>
      </c>
      <c r="E147" s="128" t="s">
        <v>411</v>
      </c>
      <c r="F147" s="91">
        <v>0.27</v>
      </c>
      <c r="G147" s="134" t="s">
        <v>412</v>
      </c>
      <c r="H147" s="128" t="s">
        <v>413</v>
      </c>
      <c r="I147" s="91">
        <v>0.14000000000000001</v>
      </c>
      <c r="J147" s="134" t="s">
        <v>21</v>
      </c>
      <c r="K147" s="12" t="s">
        <v>414</v>
      </c>
      <c r="L147" s="13"/>
      <c r="M147" s="13"/>
      <c r="N147" s="13"/>
      <c r="O147" s="73"/>
    </row>
    <row r="148" spans="1:15">
      <c r="A148" s="106"/>
      <c r="B148" s="110"/>
      <c r="C148" s="114"/>
      <c r="D148" s="127"/>
      <c r="E148" s="129"/>
      <c r="F148" s="92"/>
      <c r="G148" s="135"/>
      <c r="H148" s="129"/>
      <c r="I148" s="92"/>
      <c r="J148" s="135"/>
      <c r="K148" s="15" t="s">
        <v>415</v>
      </c>
      <c r="O148" s="71"/>
    </row>
    <row r="149" spans="1:15">
      <c r="A149" s="106"/>
      <c r="B149" s="110"/>
      <c r="C149" s="114"/>
      <c r="D149" s="127"/>
      <c r="E149" s="129"/>
      <c r="F149" s="92"/>
      <c r="G149" s="135"/>
      <c r="H149" s="129"/>
      <c r="I149" s="92"/>
      <c r="J149" s="135"/>
      <c r="K149" s="15" t="s">
        <v>416</v>
      </c>
      <c r="O149" s="71"/>
    </row>
    <row r="150" spans="1:15">
      <c r="A150" s="106"/>
      <c r="B150" s="110"/>
      <c r="C150" s="114"/>
      <c r="D150" s="127"/>
      <c r="E150" s="129"/>
      <c r="F150" s="92"/>
      <c r="G150" s="50" t="s">
        <v>417</v>
      </c>
      <c r="H150" s="40" t="s">
        <v>415</v>
      </c>
      <c r="I150" s="42">
        <v>0.13</v>
      </c>
      <c r="J150" s="50" t="s">
        <v>21</v>
      </c>
      <c r="K150" s="15" t="s">
        <v>415</v>
      </c>
      <c r="O150" s="71"/>
    </row>
    <row r="151" spans="1:15">
      <c r="A151" s="106"/>
      <c r="B151" s="110"/>
      <c r="C151" s="114"/>
      <c r="D151" s="93" t="s">
        <v>418</v>
      </c>
      <c r="E151" s="94" t="s">
        <v>419</v>
      </c>
      <c r="F151" s="95">
        <v>0.19600000000000001</v>
      </c>
      <c r="G151" s="18" t="s">
        <v>420</v>
      </c>
      <c r="H151" s="35" t="s">
        <v>421</v>
      </c>
      <c r="I151" s="36">
        <v>2.4500000000000001E-2</v>
      </c>
      <c r="J151" s="18" t="s">
        <v>37</v>
      </c>
      <c r="K151" s="19" t="s">
        <v>422</v>
      </c>
      <c r="L151" s="19">
        <v>3</v>
      </c>
      <c r="M151" s="19" t="b">
        <v>1</v>
      </c>
      <c r="N151" s="19" t="b">
        <v>0</v>
      </c>
      <c r="O151" s="58" t="s">
        <v>39</v>
      </c>
    </row>
    <row r="152" spans="1:15">
      <c r="A152" s="106"/>
      <c r="B152" s="110"/>
      <c r="C152" s="114"/>
      <c r="D152" s="93"/>
      <c r="E152" s="94"/>
      <c r="F152" s="95"/>
      <c r="G152" s="18" t="s">
        <v>423</v>
      </c>
      <c r="H152" s="35" t="s">
        <v>424</v>
      </c>
      <c r="I152" s="36">
        <v>1.2200000000000001E-2</v>
      </c>
      <c r="J152" s="18" t="s">
        <v>37</v>
      </c>
      <c r="K152" s="19" t="s">
        <v>425</v>
      </c>
      <c r="L152" s="19">
        <v>3</v>
      </c>
      <c r="M152" s="19" t="b">
        <v>1</v>
      </c>
      <c r="N152" s="19" t="b">
        <v>0</v>
      </c>
      <c r="O152" s="58" t="s">
        <v>39</v>
      </c>
    </row>
    <row r="153" spans="1:15">
      <c r="A153" s="106"/>
      <c r="B153" s="110"/>
      <c r="C153" s="114"/>
      <c r="D153" s="93"/>
      <c r="E153" s="94"/>
      <c r="F153" s="95"/>
      <c r="G153" s="18" t="s">
        <v>426</v>
      </c>
      <c r="H153" s="35" t="s">
        <v>427</v>
      </c>
      <c r="I153" s="36">
        <v>2.4500000000000001E-2</v>
      </c>
      <c r="J153" s="18" t="s">
        <v>37</v>
      </c>
      <c r="K153" s="19" t="s">
        <v>428</v>
      </c>
      <c r="L153" s="19">
        <v>4</v>
      </c>
      <c r="M153" s="19" t="b">
        <v>1</v>
      </c>
      <c r="N153" s="19" t="b">
        <v>1</v>
      </c>
      <c r="O153" s="58" t="s">
        <v>39</v>
      </c>
    </row>
    <row r="154" spans="1:15">
      <c r="A154" s="106"/>
      <c r="B154" s="110"/>
      <c r="C154" s="114"/>
      <c r="D154" s="93"/>
      <c r="E154" s="94"/>
      <c r="F154" s="95"/>
      <c r="G154" s="18" t="s">
        <v>429</v>
      </c>
      <c r="H154" s="35" t="s">
        <v>430</v>
      </c>
      <c r="I154" s="36">
        <v>2.4500000000000001E-2</v>
      </c>
      <c r="J154" s="18" t="s">
        <v>37</v>
      </c>
      <c r="K154" s="19" t="s">
        <v>431</v>
      </c>
      <c r="L154" s="19">
        <v>4</v>
      </c>
      <c r="M154" s="19" t="b">
        <v>1</v>
      </c>
      <c r="N154" s="19" t="b">
        <v>1</v>
      </c>
      <c r="O154" s="58" t="s">
        <v>39</v>
      </c>
    </row>
    <row r="155" spans="1:15">
      <c r="A155" s="106"/>
      <c r="B155" s="110"/>
      <c r="C155" s="114"/>
      <c r="D155" s="93"/>
      <c r="E155" s="94"/>
      <c r="F155" s="95"/>
      <c r="G155" s="18" t="s">
        <v>432</v>
      </c>
      <c r="H155" s="35" t="s">
        <v>433</v>
      </c>
      <c r="I155" s="36">
        <v>2.4500000000000001E-2</v>
      </c>
      <c r="J155" s="18" t="s">
        <v>37</v>
      </c>
      <c r="K155" s="19" t="s">
        <v>434</v>
      </c>
      <c r="L155" s="19">
        <v>4</v>
      </c>
      <c r="M155" s="19" t="b">
        <v>1</v>
      </c>
      <c r="N155" s="19" t="b">
        <v>1</v>
      </c>
      <c r="O155" s="58" t="s">
        <v>39</v>
      </c>
    </row>
    <row r="156" spans="1:15">
      <c r="A156" s="106"/>
      <c r="B156" s="110"/>
      <c r="C156" s="114"/>
      <c r="D156" s="93"/>
      <c r="E156" s="94"/>
      <c r="F156" s="95"/>
      <c r="G156" s="18" t="s">
        <v>435</v>
      </c>
      <c r="H156" s="35" t="s">
        <v>436</v>
      </c>
      <c r="I156" s="36">
        <v>2.4500000000000001E-2</v>
      </c>
      <c r="J156" s="18" t="s">
        <v>37</v>
      </c>
      <c r="K156" s="19" t="s">
        <v>437</v>
      </c>
      <c r="L156" s="19">
        <v>4</v>
      </c>
      <c r="M156" s="19" t="b">
        <v>1</v>
      </c>
      <c r="N156" s="19" t="b">
        <v>1</v>
      </c>
      <c r="O156" s="58" t="s">
        <v>39</v>
      </c>
    </row>
    <row r="157" spans="1:15">
      <c r="A157" s="106"/>
      <c r="B157" s="110"/>
      <c r="C157" s="114"/>
      <c r="D157" s="93"/>
      <c r="E157" s="94"/>
      <c r="F157" s="95"/>
      <c r="G157" s="18" t="s">
        <v>438</v>
      </c>
      <c r="H157" s="35" t="s">
        <v>439</v>
      </c>
      <c r="I157" s="36">
        <v>2.4500000000000001E-2</v>
      </c>
      <c r="J157" s="18" t="s">
        <v>37</v>
      </c>
      <c r="K157" s="19" t="s">
        <v>440</v>
      </c>
      <c r="L157" s="19">
        <v>3</v>
      </c>
      <c r="M157" s="19" t="b">
        <v>1</v>
      </c>
      <c r="N157" s="19" t="b">
        <v>0</v>
      </c>
      <c r="O157" s="58" t="s">
        <v>39</v>
      </c>
    </row>
    <row r="158" spans="1:15">
      <c r="A158" s="106"/>
      <c r="B158" s="110"/>
      <c r="C158" s="114"/>
      <c r="D158" s="93"/>
      <c r="E158" s="94"/>
      <c r="F158" s="95"/>
      <c r="G158" s="18" t="s">
        <v>441</v>
      </c>
      <c r="H158" s="35" t="s">
        <v>442</v>
      </c>
      <c r="I158" s="36">
        <v>2.4500000000000001E-2</v>
      </c>
      <c r="J158" s="18" t="s">
        <v>37</v>
      </c>
      <c r="K158" s="19" t="s">
        <v>443</v>
      </c>
      <c r="L158" s="19">
        <v>3</v>
      </c>
      <c r="M158" s="19" t="b">
        <v>1</v>
      </c>
      <c r="N158" s="19" t="b">
        <v>0</v>
      </c>
      <c r="O158" s="58" t="s">
        <v>39</v>
      </c>
    </row>
    <row r="159" spans="1:15">
      <c r="A159" s="106"/>
      <c r="B159" s="110"/>
      <c r="C159" s="114"/>
      <c r="D159" s="93"/>
      <c r="E159" s="94"/>
      <c r="F159" s="95"/>
      <c r="G159" s="18" t="s">
        <v>1036</v>
      </c>
      <c r="H159" s="35" t="s">
        <v>1037</v>
      </c>
      <c r="I159" s="36">
        <v>1.2200000000000001E-2</v>
      </c>
      <c r="J159" s="18" t="s">
        <v>37</v>
      </c>
      <c r="K159" s="19" t="s">
        <v>1038</v>
      </c>
      <c r="L159" s="19">
        <v>3</v>
      </c>
      <c r="M159" s="19" t="b">
        <v>1</v>
      </c>
      <c r="N159" s="19" t="b">
        <v>0</v>
      </c>
      <c r="O159" s="58" t="s">
        <v>39</v>
      </c>
    </row>
    <row r="160" spans="1:15">
      <c r="A160" s="106"/>
      <c r="B160" s="110"/>
      <c r="C160" s="114"/>
      <c r="D160" s="130" t="s">
        <v>444</v>
      </c>
      <c r="E160" s="132" t="s">
        <v>445</v>
      </c>
      <c r="F160" s="101">
        <v>0.154</v>
      </c>
      <c r="G160" s="103" t="s">
        <v>446</v>
      </c>
      <c r="H160" s="132" t="s">
        <v>447</v>
      </c>
      <c r="I160" s="101">
        <v>0.154</v>
      </c>
      <c r="J160" s="103" t="s">
        <v>29</v>
      </c>
      <c r="K160" s="17" t="s">
        <v>448</v>
      </c>
      <c r="O160" s="71"/>
    </row>
    <row r="161" spans="1:15">
      <c r="A161" s="106"/>
      <c r="B161" s="110"/>
      <c r="C161" s="114"/>
      <c r="D161" s="130"/>
      <c r="E161" s="132"/>
      <c r="F161" s="101"/>
      <c r="G161" s="103"/>
      <c r="H161" s="132"/>
      <c r="I161" s="101"/>
      <c r="J161" s="103"/>
      <c r="K161" s="17" t="s">
        <v>449</v>
      </c>
      <c r="O161" s="71"/>
    </row>
    <row r="162" spans="1:15">
      <c r="A162" s="106"/>
      <c r="B162" s="110"/>
      <c r="C162" s="114"/>
      <c r="D162" s="130"/>
      <c r="E162" s="132"/>
      <c r="F162" s="101"/>
      <c r="G162" s="103"/>
      <c r="H162" s="132"/>
      <c r="I162" s="101"/>
      <c r="J162" s="103"/>
      <c r="K162" s="17" t="s">
        <v>450</v>
      </c>
      <c r="O162" s="71"/>
    </row>
    <row r="163" spans="1:15">
      <c r="A163" s="106"/>
      <c r="B163" s="110"/>
      <c r="C163" s="114"/>
      <c r="D163" s="130" t="s">
        <v>451</v>
      </c>
      <c r="E163" s="132" t="s">
        <v>452</v>
      </c>
      <c r="F163" s="101">
        <v>0.19</v>
      </c>
      <c r="G163" s="103" t="s">
        <v>453</v>
      </c>
      <c r="H163" s="170" t="s">
        <v>454</v>
      </c>
      <c r="I163" s="101">
        <v>0.19</v>
      </c>
      <c r="J163" s="103" t="s">
        <v>29</v>
      </c>
      <c r="K163" s="17" t="s">
        <v>30</v>
      </c>
      <c r="O163" s="71"/>
    </row>
    <row r="164" spans="1:15">
      <c r="A164" s="106"/>
      <c r="B164" s="110"/>
      <c r="C164" s="114"/>
      <c r="D164" s="130"/>
      <c r="E164" s="132"/>
      <c r="F164" s="101"/>
      <c r="G164" s="103"/>
      <c r="H164" s="99"/>
      <c r="I164" s="101"/>
      <c r="J164" s="103"/>
      <c r="K164" s="17" t="s">
        <v>455</v>
      </c>
      <c r="O164" s="71"/>
    </row>
    <row r="165" spans="1:15">
      <c r="A165" s="106"/>
      <c r="B165" s="110"/>
      <c r="C165" s="114"/>
      <c r="D165" s="130"/>
      <c r="E165" s="132"/>
      <c r="F165" s="101"/>
      <c r="G165" s="103"/>
      <c r="H165" s="99"/>
      <c r="I165" s="101"/>
      <c r="J165" s="103"/>
      <c r="K165" s="17" t="s">
        <v>456</v>
      </c>
      <c r="O165" s="71"/>
    </row>
    <row r="166" spans="1:15">
      <c r="A166" s="106"/>
      <c r="B166" s="110"/>
      <c r="C166" s="114"/>
      <c r="D166" s="130" t="s">
        <v>457</v>
      </c>
      <c r="E166" s="132" t="s">
        <v>458</v>
      </c>
      <c r="F166" s="101">
        <v>0.19</v>
      </c>
      <c r="G166" s="103" t="s">
        <v>459</v>
      </c>
      <c r="H166" s="132" t="s">
        <v>460</v>
      </c>
      <c r="I166" s="101">
        <v>0.19</v>
      </c>
      <c r="J166" s="103" t="s">
        <v>29</v>
      </c>
      <c r="K166" s="17" t="s">
        <v>448</v>
      </c>
      <c r="O166" s="71"/>
    </row>
    <row r="167" spans="1:15">
      <c r="A167" s="106"/>
      <c r="B167" s="110"/>
      <c r="C167" s="114"/>
      <c r="D167" s="130"/>
      <c r="E167" s="132"/>
      <c r="F167" s="101"/>
      <c r="G167" s="103"/>
      <c r="H167" s="132"/>
      <c r="I167" s="101"/>
      <c r="J167" s="103"/>
      <c r="K167" s="17" t="s">
        <v>461</v>
      </c>
      <c r="O167" s="71"/>
    </row>
    <row r="168" spans="1:15" ht="16.149999999999999" thickBot="1">
      <c r="A168" s="108"/>
      <c r="B168" s="112"/>
      <c r="C168" s="116"/>
      <c r="D168" s="131"/>
      <c r="E168" s="133"/>
      <c r="F168" s="102"/>
      <c r="G168" s="104"/>
      <c r="H168" s="133"/>
      <c r="I168" s="102"/>
      <c r="J168" s="104"/>
      <c r="K168" s="23" t="s">
        <v>462</v>
      </c>
      <c r="L168" s="24"/>
      <c r="M168" s="24"/>
      <c r="N168" s="24"/>
      <c r="O168" s="74"/>
    </row>
    <row r="169" spans="1:15">
      <c r="A169" s="105" t="s">
        <v>463</v>
      </c>
      <c r="B169" s="109" t="s">
        <v>464</v>
      </c>
      <c r="C169" s="113">
        <v>0.26</v>
      </c>
      <c r="D169" s="37" t="s">
        <v>465</v>
      </c>
      <c r="E169" s="39" t="s">
        <v>466</v>
      </c>
      <c r="F169" s="41">
        <v>0.11600000000000001</v>
      </c>
      <c r="G169" s="49" t="s">
        <v>467</v>
      </c>
      <c r="H169" s="39" t="s">
        <v>468</v>
      </c>
      <c r="I169" s="41">
        <v>0.11600000000000001</v>
      </c>
      <c r="J169" s="49" t="s">
        <v>21</v>
      </c>
      <c r="K169" s="12" t="s">
        <v>469</v>
      </c>
      <c r="O169" s="75"/>
    </row>
    <row r="170" spans="1:15">
      <c r="A170" s="106"/>
      <c r="B170" s="110"/>
      <c r="C170" s="114"/>
      <c r="D170" s="38" t="s">
        <v>470</v>
      </c>
      <c r="E170" s="40" t="s">
        <v>471</v>
      </c>
      <c r="F170" s="42">
        <v>0.154</v>
      </c>
      <c r="G170" s="50" t="s">
        <v>472</v>
      </c>
      <c r="H170" s="40" t="s">
        <v>473</v>
      </c>
      <c r="I170" s="42">
        <v>0.154</v>
      </c>
      <c r="J170" s="50" t="s">
        <v>21</v>
      </c>
      <c r="K170" s="15" t="s">
        <v>474</v>
      </c>
      <c r="O170" s="75"/>
    </row>
    <row r="171" spans="1:15">
      <c r="A171" s="106"/>
      <c r="B171" s="110"/>
      <c r="C171" s="114"/>
      <c r="D171" s="48" t="s">
        <v>475</v>
      </c>
      <c r="E171" s="43" t="s">
        <v>476</v>
      </c>
      <c r="F171" s="44">
        <v>0.34599999999999997</v>
      </c>
      <c r="G171" s="46" t="s">
        <v>477</v>
      </c>
      <c r="H171" s="43" t="s">
        <v>478</v>
      </c>
      <c r="I171" s="44">
        <v>0.34599999999999997</v>
      </c>
      <c r="J171" s="46" t="s">
        <v>29</v>
      </c>
      <c r="K171" s="17" t="s">
        <v>479</v>
      </c>
      <c r="O171" s="75"/>
    </row>
    <row r="172" spans="1:15">
      <c r="A172" s="106"/>
      <c r="B172" s="110"/>
      <c r="C172" s="114"/>
      <c r="D172" s="130" t="s">
        <v>480</v>
      </c>
      <c r="E172" s="132" t="s">
        <v>481</v>
      </c>
      <c r="F172" s="101">
        <v>0.38400000000000001</v>
      </c>
      <c r="G172" s="103" t="s">
        <v>482</v>
      </c>
      <c r="H172" s="132" t="s">
        <v>483</v>
      </c>
      <c r="I172" s="101">
        <v>0.38400000000000001</v>
      </c>
      <c r="J172" s="103" t="s">
        <v>29</v>
      </c>
      <c r="K172" s="17" t="s">
        <v>484</v>
      </c>
      <c r="O172" s="75"/>
    </row>
    <row r="173" spans="1:15">
      <c r="A173" s="106"/>
      <c r="B173" s="110"/>
      <c r="C173" s="114"/>
      <c r="D173" s="130"/>
      <c r="E173" s="132"/>
      <c r="F173" s="101"/>
      <c r="G173" s="103"/>
      <c r="H173" s="132"/>
      <c r="I173" s="101"/>
      <c r="J173" s="103"/>
      <c r="K173" s="17" t="s">
        <v>485</v>
      </c>
      <c r="O173" s="75"/>
    </row>
    <row r="174" spans="1:15">
      <c r="A174" s="106"/>
      <c r="B174" s="110"/>
      <c r="C174" s="114"/>
      <c r="D174" s="130"/>
      <c r="E174" s="132"/>
      <c r="F174" s="101"/>
      <c r="G174" s="103"/>
      <c r="H174" s="132"/>
      <c r="I174" s="101"/>
      <c r="J174" s="103"/>
      <c r="K174" s="17" t="s">
        <v>486</v>
      </c>
      <c r="O174" s="75"/>
    </row>
    <row r="175" spans="1:15">
      <c r="A175" s="106"/>
      <c r="B175" s="110"/>
      <c r="C175" s="114"/>
      <c r="D175" s="130"/>
      <c r="E175" s="132"/>
      <c r="F175" s="101"/>
      <c r="G175" s="103"/>
      <c r="H175" s="132"/>
      <c r="I175" s="101"/>
      <c r="J175" s="103"/>
      <c r="K175" s="17" t="s">
        <v>487</v>
      </c>
      <c r="O175" s="75"/>
    </row>
    <row r="176" spans="1:15">
      <c r="A176" s="106"/>
      <c r="B176" s="110"/>
      <c r="C176" s="114"/>
      <c r="D176" s="130"/>
      <c r="E176" s="132"/>
      <c r="F176" s="101"/>
      <c r="G176" s="103"/>
      <c r="H176" s="132"/>
      <c r="I176" s="101"/>
      <c r="J176" s="103"/>
      <c r="K176" s="17" t="s">
        <v>488</v>
      </c>
      <c r="O176" s="75"/>
    </row>
    <row r="177" spans="1:15">
      <c r="A177" s="106"/>
      <c r="B177" s="110"/>
      <c r="C177" s="114"/>
      <c r="D177" s="130"/>
      <c r="E177" s="132"/>
      <c r="F177" s="101"/>
      <c r="G177" s="103"/>
      <c r="H177" s="132"/>
      <c r="I177" s="101"/>
      <c r="J177" s="103"/>
      <c r="K177" s="17" t="s">
        <v>489</v>
      </c>
      <c r="O177" s="75"/>
    </row>
    <row r="178" spans="1:15">
      <c r="A178" s="106"/>
      <c r="B178" s="110"/>
      <c r="C178" s="114"/>
      <c r="D178" s="130"/>
      <c r="E178" s="132"/>
      <c r="F178" s="101"/>
      <c r="G178" s="103"/>
      <c r="H178" s="132"/>
      <c r="I178" s="101"/>
      <c r="J178" s="103"/>
      <c r="K178" s="17" t="s">
        <v>490</v>
      </c>
      <c r="O178" s="75"/>
    </row>
    <row r="179" spans="1:15">
      <c r="A179" s="106"/>
      <c r="B179" s="110"/>
      <c r="C179" s="114"/>
      <c r="D179" s="130"/>
      <c r="E179" s="132"/>
      <c r="F179" s="101"/>
      <c r="G179" s="103"/>
      <c r="H179" s="132"/>
      <c r="I179" s="101"/>
      <c r="J179" s="103"/>
      <c r="K179" s="17" t="s">
        <v>491</v>
      </c>
      <c r="O179" s="75"/>
    </row>
    <row r="180" spans="1:15" ht="16.149999999999999" thickBot="1">
      <c r="A180" s="108"/>
      <c r="B180" s="112"/>
      <c r="C180" s="116"/>
      <c r="D180" s="131"/>
      <c r="E180" s="133"/>
      <c r="F180" s="102"/>
      <c r="G180" s="104"/>
      <c r="H180" s="133"/>
      <c r="I180" s="102"/>
      <c r="J180" s="104"/>
      <c r="K180" s="23" t="s">
        <v>492</v>
      </c>
      <c r="O180" s="75"/>
    </row>
    <row r="181" spans="1:15">
      <c r="A181" s="164" t="s">
        <v>493</v>
      </c>
      <c r="B181" s="167" t="s">
        <v>494</v>
      </c>
      <c r="C181" s="113">
        <v>0.26</v>
      </c>
      <c r="D181" s="126" t="s">
        <v>495</v>
      </c>
      <c r="E181" s="128" t="s">
        <v>496</v>
      </c>
      <c r="F181" s="91">
        <v>0.27</v>
      </c>
      <c r="G181" s="134" t="s">
        <v>497</v>
      </c>
      <c r="H181" s="128" t="s">
        <v>498</v>
      </c>
      <c r="I181" s="91">
        <v>0.1</v>
      </c>
      <c r="J181" s="134" t="s">
        <v>21</v>
      </c>
      <c r="K181" s="12" t="s">
        <v>499</v>
      </c>
      <c r="L181" s="13"/>
      <c r="M181" s="13"/>
      <c r="N181" s="13"/>
      <c r="O181" s="73"/>
    </row>
    <row r="182" spans="1:15">
      <c r="A182" s="165"/>
      <c r="B182" s="168"/>
      <c r="C182" s="114"/>
      <c r="D182" s="127"/>
      <c r="E182" s="129"/>
      <c r="F182" s="92"/>
      <c r="G182" s="135"/>
      <c r="H182" s="129"/>
      <c r="I182" s="92"/>
      <c r="J182" s="135"/>
      <c r="K182" s="15" t="s">
        <v>500</v>
      </c>
      <c r="O182" s="71"/>
    </row>
    <row r="183" spans="1:15">
      <c r="A183" s="165"/>
      <c r="B183" s="168"/>
      <c r="C183" s="114"/>
      <c r="D183" s="127"/>
      <c r="E183" s="129"/>
      <c r="F183" s="92"/>
      <c r="G183" s="135"/>
      <c r="H183" s="129"/>
      <c r="I183" s="92"/>
      <c r="J183" s="135"/>
      <c r="K183" s="15" t="s">
        <v>501</v>
      </c>
      <c r="O183" s="71"/>
    </row>
    <row r="184" spans="1:15">
      <c r="A184" s="165"/>
      <c r="B184" s="168"/>
      <c r="C184" s="114"/>
      <c r="D184" s="127"/>
      <c r="E184" s="129"/>
      <c r="F184" s="92"/>
      <c r="G184" s="50" t="s">
        <v>502</v>
      </c>
      <c r="H184" s="40" t="s">
        <v>503</v>
      </c>
      <c r="I184" s="42">
        <v>0.1</v>
      </c>
      <c r="J184" s="50" t="s">
        <v>21</v>
      </c>
      <c r="K184" s="15" t="s">
        <v>503</v>
      </c>
      <c r="O184" s="71"/>
    </row>
    <row r="185" spans="1:15">
      <c r="A185" s="165"/>
      <c r="B185" s="168"/>
      <c r="C185" s="114"/>
      <c r="D185" s="127"/>
      <c r="E185" s="129"/>
      <c r="F185" s="92"/>
      <c r="G185" s="50" t="s">
        <v>504</v>
      </c>
      <c r="H185" s="40" t="s">
        <v>500</v>
      </c>
      <c r="I185" s="42">
        <v>7.0000000000000007E-2</v>
      </c>
      <c r="J185" s="50" t="s">
        <v>21</v>
      </c>
      <c r="K185" s="15" t="s">
        <v>500</v>
      </c>
      <c r="O185" s="71"/>
    </row>
    <row r="186" spans="1:15">
      <c r="A186" s="165"/>
      <c r="B186" s="168"/>
      <c r="C186" s="114"/>
      <c r="D186" s="130" t="s">
        <v>505</v>
      </c>
      <c r="E186" s="132" t="s">
        <v>506</v>
      </c>
      <c r="F186" s="101">
        <v>0.155</v>
      </c>
      <c r="G186" s="103" t="s">
        <v>507</v>
      </c>
      <c r="H186" s="132" t="s">
        <v>211</v>
      </c>
      <c r="I186" s="101">
        <v>0.155</v>
      </c>
      <c r="J186" s="103" t="s">
        <v>29</v>
      </c>
      <c r="K186" s="17" t="s">
        <v>212</v>
      </c>
      <c r="O186" s="71"/>
    </row>
    <row r="187" spans="1:15">
      <c r="A187" s="165"/>
      <c r="B187" s="168"/>
      <c r="C187" s="114"/>
      <c r="D187" s="130"/>
      <c r="E187" s="132"/>
      <c r="F187" s="101"/>
      <c r="G187" s="103"/>
      <c r="H187" s="132"/>
      <c r="I187" s="101"/>
      <c r="J187" s="103"/>
      <c r="K187" s="17" t="s">
        <v>213</v>
      </c>
      <c r="O187" s="71"/>
    </row>
    <row r="188" spans="1:15">
      <c r="A188" s="165"/>
      <c r="B188" s="168"/>
      <c r="C188" s="114"/>
      <c r="D188" s="130"/>
      <c r="E188" s="132"/>
      <c r="F188" s="101"/>
      <c r="G188" s="103"/>
      <c r="H188" s="132"/>
      <c r="I188" s="101"/>
      <c r="J188" s="103"/>
      <c r="K188" s="17" t="s">
        <v>508</v>
      </c>
      <c r="O188" s="71"/>
    </row>
    <row r="189" spans="1:15">
      <c r="A189" s="165"/>
      <c r="B189" s="168"/>
      <c r="C189" s="114"/>
      <c r="D189" s="130" t="s">
        <v>509</v>
      </c>
      <c r="E189" s="132" t="s">
        <v>510</v>
      </c>
      <c r="F189" s="101">
        <v>0.155</v>
      </c>
      <c r="G189" s="103" t="s">
        <v>511</v>
      </c>
      <c r="H189" s="132" t="s">
        <v>512</v>
      </c>
      <c r="I189" s="101">
        <v>0.155</v>
      </c>
      <c r="J189" s="103" t="s">
        <v>29</v>
      </c>
      <c r="K189" s="17" t="s">
        <v>30</v>
      </c>
      <c r="O189" s="71"/>
    </row>
    <row r="190" spans="1:15">
      <c r="A190" s="165"/>
      <c r="B190" s="168"/>
      <c r="C190" s="114"/>
      <c r="D190" s="130"/>
      <c r="E190" s="132"/>
      <c r="F190" s="101"/>
      <c r="G190" s="103"/>
      <c r="H190" s="132"/>
      <c r="I190" s="101"/>
      <c r="J190" s="103"/>
      <c r="K190" s="17" t="s">
        <v>513</v>
      </c>
      <c r="O190" s="71"/>
    </row>
    <row r="191" spans="1:15">
      <c r="A191" s="165"/>
      <c r="B191" s="168"/>
      <c r="C191" s="114"/>
      <c r="D191" s="130"/>
      <c r="E191" s="132"/>
      <c r="F191" s="101"/>
      <c r="G191" s="103"/>
      <c r="H191" s="132"/>
      <c r="I191" s="101"/>
      <c r="J191" s="103"/>
      <c r="K191" s="17" t="s">
        <v>514</v>
      </c>
      <c r="O191" s="71"/>
    </row>
    <row r="192" spans="1:15">
      <c r="A192" s="165"/>
      <c r="B192" s="168"/>
      <c r="C192" s="114"/>
      <c r="D192" s="130" t="s">
        <v>515</v>
      </c>
      <c r="E192" s="132" t="s">
        <v>516</v>
      </c>
      <c r="F192" s="101">
        <v>0.115</v>
      </c>
      <c r="G192" s="103" t="s">
        <v>517</v>
      </c>
      <c r="H192" s="132" t="s">
        <v>518</v>
      </c>
      <c r="I192" s="101">
        <v>0.115</v>
      </c>
      <c r="J192" s="103" t="s">
        <v>29</v>
      </c>
      <c r="K192" s="17" t="s">
        <v>30</v>
      </c>
      <c r="O192" s="71"/>
    </row>
    <row r="193" spans="1:15">
      <c r="A193" s="165"/>
      <c r="B193" s="168"/>
      <c r="C193" s="114"/>
      <c r="D193" s="130"/>
      <c r="E193" s="132"/>
      <c r="F193" s="101"/>
      <c r="G193" s="103"/>
      <c r="H193" s="132"/>
      <c r="I193" s="101"/>
      <c r="J193" s="103"/>
      <c r="K193" s="17" t="s">
        <v>519</v>
      </c>
      <c r="O193" s="71"/>
    </row>
    <row r="194" spans="1:15">
      <c r="A194" s="165"/>
      <c r="B194" s="168"/>
      <c r="C194" s="114"/>
      <c r="D194" s="130"/>
      <c r="E194" s="132"/>
      <c r="F194" s="101"/>
      <c r="G194" s="103"/>
      <c r="H194" s="132"/>
      <c r="I194" s="101"/>
      <c r="J194" s="103"/>
      <c r="K194" s="17" t="s">
        <v>520</v>
      </c>
      <c r="O194" s="71"/>
    </row>
    <row r="195" spans="1:15">
      <c r="A195" s="165"/>
      <c r="B195" s="168"/>
      <c r="C195" s="114"/>
      <c r="D195" s="130" t="s">
        <v>521</v>
      </c>
      <c r="E195" s="132" t="s">
        <v>522</v>
      </c>
      <c r="F195" s="101">
        <v>0.115</v>
      </c>
      <c r="G195" s="103" t="s">
        <v>523</v>
      </c>
      <c r="H195" s="132" t="s">
        <v>524</v>
      </c>
      <c r="I195" s="101">
        <v>0.115</v>
      </c>
      <c r="J195" s="103" t="s">
        <v>29</v>
      </c>
      <c r="K195" s="17" t="s">
        <v>448</v>
      </c>
      <c r="O195" s="71"/>
    </row>
    <row r="196" spans="1:15">
      <c r="A196" s="165"/>
      <c r="B196" s="168"/>
      <c r="C196" s="114"/>
      <c r="D196" s="130"/>
      <c r="E196" s="132"/>
      <c r="F196" s="101"/>
      <c r="G196" s="103"/>
      <c r="H196" s="132"/>
      <c r="I196" s="101"/>
      <c r="J196" s="103"/>
      <c r="K196" s="17" t="s">
        <v>525</v>
      </c>
      <c r="O196" s="71"/>
    </row>
    <row r="197" spans="1:15">
      <c r="A197" s="165"/>
      <c r="B197" s="168"/>
      <c r="C197" s="114"/>
      <c r="D197" s="130"/>
      <c r="E197" s="132"/>
      <c r="F197" s="101"/>
      <c r="G197" s="103"/>
      <c r="H197" s="132"/>
      <c r="I197" s="101"/>
      <c r="J197" s="103"/>
      <c r="K197" s="17" t="s">
        <v>526</v>
      </c>
      <c r="O197" s="71"/>
    </row>
    <row r="198" spans="1:15">
      <c r="A198" s="165"/>
      <c r="B198" s="168"/>
      <c r="C198" s="114"/>
      <c r="D198" s="93" t="s">
        <v>527</v>
      </c>
      <c r="E198" s="94" t="s">
        <v>528</v>
      </c>
      <c r="F198" s="95">
        <v>0.19</v>
      </c>
      <c r="G198" s="18" t="s">
        <v>529</v>
      </c>
      <c r="H198" s="35" t="s">
        <v>530</v>
      </c>
      <c r="I198" s="36">
        <v>1.9E-2</v>
      </c>
      <c r="J198" s="18" t="s">
        <v>37</v>
      </c>
      <c r="K198" s="19" t="s">
        <v>531</v>
      </c>
      <c r="L198" s="19">
        <v>4</v>
      </c>
      <c r="M198" s="19" t="b">
        <v>1</v>
      </c>
      <c r="N198" s="19" t="b">
        <v>1</v>
      </c>
      <c r="O198" s="58" t="s">
        <v>39</v>
      </c>
    </row>
    <row r="199" spans="1:15">
      <c r="A199" s="165"/>
      <c r="B199" s="168"/>
      <c r="C199" s="114"/>
      <c r="D199" s="93"/>
      <c r="E199" s="94"/>
      <c r="F199" s="95"/>
      <c r="G199" s="18" t="s">
        <v>532</v>
      </c>
      <c r="H199" s="35" t="s">
        <v>533</v>
      </c>
      <c r="I199" s="36">
        <v>1.9E-2</v>
      </c>
      <c r="J199" s="18" t="s">
        <v>37</v>
      </c>
      <c r="K199" s="19" t="s">
        <v>534</v>
      </c>
      <c r="L199" s="19">
        <v>3</v>
      </c>
      <c r="M199" s="19" t="b">
        <v>1</v>
      </c>
      <c r="N199" s="19" t="b">
        <v>0</v>
      </c>
      <c r="O199" s="58" t="s">
        <v>39</v>
      </c>
    </row>
    <row r="200" spans="1:15">
      <c r="A200" s="165"/>
      <c r="B200" s="168"/>
      <c r="C200" s="114"/>
      <c r="D200" s="93"/>
      <c r="E200" s="94"/>
      <c r="F200" s="95"/>
      <c r="G200" s="18" t="s">
        <v>535</v>
      </c>
      <c r="H200" s="35" t="s">
        <v>536</v>
      </c>
      <c r="I200" s="36">
        <v>1.9E-2</v>
      </c>
      <c r="J200" s="18" t="s">
        <v>37</v>
      </c>
      <c r="K200" s="19" t="s">
        <v>537</v>
      </c>
      <c r="L200" s="19">
        <v>3</v>
      </c>
      <c r="M200" s="19" t="b">
        <v>1</v>
      </c>
      <c r="N200" s="19" t="b">
        <v>0</v>
      </c>
      <c r="O200" s="58" t="s">
        <v>39</v>
      </c>
    </row>
    <row r="201" spans="1:15">
      <c r="A201" s="165"/>
      <c r="B201" s="168"/>
      <c r="C201" s="114"/>
      <c r="D201" s="93"/>
      <c r="E201" s="94"/>
      <c r="F201" s="95"/>
      <c r="G201" s="18" t="s">
        <v>538</v>
      </c>
      <c r="H201" s="35" t="s">
        <v>539</v>
      </c>
      <c r="I201" s="36">
        <v>1.9E-2</v>
      </c>
      <c r="J201" s="18" t="s">
        <v>37</v>
      </c>
      <c r="K201" s="19" t="s">
        <v>540</v>
      </c>
      <c r="L201" s="19">
        <v>3</v>
      </c>
      <c r="M201" s="19" t="b">
        <v>1</v>
      </c>
      <c r="N201" s="19" t="b">
        <v>0</v>
      </c>
      <c r="O201" s="58" t="s">
        <v>39</v>
      </c>
    </row>
    <row r="202" spans="1:15">
      <c r="A202" s="165"/>
      <c r="B202" s="168"/>
      <c r="C202" s="114"/>
      <c r="D202" s="93"/>
      <c r="E202" s="94"/>
      <c r="F202" s="95"/>
      <c r="G202" s="18" t="s">
        <v>541</v>
      </c>
      <c r="H202" s="35" t="s">
        <v>542</v>
      </c>
      <c r="I202" s="36">
        <v>9.4999999999999998E-3</v>
      </c>
      <c r="J202" s="18" t="s">
        <v>37</v>
      </c>
      <c r="K202" s="19" t="s">
        <v>543</v>
      </c>
      <c r="L202" s="19">
        <v>4</v>
      </c>
      <c r="M202" s="19" t="b">
        <v>1</v>
      </c>
      <c r="N202" s="19" t="b">
        <v>1</v>
      </c>
      <c r="O202" s="58" t="s">
        <v>39</v>
      </c>
    </row>
    <row r="203" spans="1:15">
      <c r="A203" s="165"/>
      <c r="B203" s="168"/>
      <c r="C203" s="114"/>
      <c r="D203" s="93"/>
      <c r="E203" s="94"/>
      <c r="F203" s="95"/>
      <c r="G203" s="18" t="s">
        <v>544</v>
      </c>
      <c r="H203" s="35" t="s">
        <v>545</v>
      </c>
      <c r="I203" s="36">
        <v>1.9E-2</v>
      </c>
      <c r="J203" s="18" t="s">
        <v>37</v>
      </c>
      <c r="K203" s="19" t="s">
        <v>546</v>
      </c>
      <c r="L203" s="19">
        <v>3</v>
      </c>
      <c r="M203" s="19" t="b">
        <v>1</v>
      </c>
      <c r="N203" s="19" t="b">
        <v>0</v>
      </c>
      <c r="O203" s="58" t="s">
        <v>39</v>
      </c>
    </row>
    <row r="204" spans="1:15">
      <c r="A204" s="165"/>
      <c r="B204" s="168"/>
      <c r="C204" s="114"/>
      <c r="D204" s="93"/>
      <c r="E204" s="94"/>
      <c r="F204" s="95"/>
      <c r="G204" s="18" t="s">
        <v>547</v>
      </c>
      <c r="H204" s="35" t="s">
        <v>548</v>
      </c>
      <c r="I204" s="36">
        <v>1.9E-2</v>
      </c>
      <c r="J204" s="18" t="s">
        <v>37</v>
      </c>
      <c r="K204" s="19" t="s">
        <v>549</v>
      </c>
      <c r="L204" s="19">
        <v>3</v>
      </c>
      <c r="M204" s="19" t="b">
        <v>1</v>
      </c>
      <c r="N204" s="19" t="b">
        <v>0</v>
      </c>
      <c r="O204" s="58" t="s">
        <v>39</v>
      </c>
    </row>
    <row r="205" spans="1:15">
      <c r="A205" s="165"/>
      <c r="B205" s="168"/>
      <c r="C205" s="114"/>
      <c r="D205" s="93"/>
      <c r="E205" s="94"/>
      <c r="F205" s="95"/>
      <c r="G205" s="18" t="s">
        <v>550</v>
      </c>
      <c r="H205" s="35" t="s">
        <v>551</v>
      </c>
      <c r="I205" s="36">
        <v>1.9E-2</v>
      </c>
      <c r="J205" s="18" t="s">
        <v>37</v>
      </c>
      <c r="K205" s="19" t="s">
        <v>552</v>
      </c>
      <c r="L205" s="19">
        <v>3</v>
      </c>
      <c r="M205" s="19" t="b">
        <v>1</v>
      </c>
      <c r="N205" s="19" t="b">
        <v>0</v>
      </c>
      <c r="O205" s="58" t="s">
        <v>39</v>
      </c>
    </row>
    <row r="206" spans="1:15">
      <c r="A206" s="165"/>
      <c r="B206" s="168"/>
      <c r="C206" s="114"/>
      <c r="D206" s="93"/>
      <c r="E206" s="94"/>
      <c r="F206" s="95"/>
      <c r="G206" s="18" t="s">
        <v>553</v>
      </c>
      <c r="H206" s="35" t="s">
        <v>554</v>
      </c>
      <c r="I206" s="36">
        <v>1.9E-2</v>
      </c>
      <c r="J206" s="18" t="s">
        <v>37</v>
      </c>
      <c r="K206" s="19" t="s">
        <v>555</v>
      </c>
      <c r="L206" s="19">
        <v>3</v>
      </c>
      <c r="M206" s="19" t="b">
        <v>1</v>
      </c>
      <c r="N206" s="19" t="b">
        <v>0</v>
      </c>
      <c r="O206" s="58" t="s">
        <v>39</v>
      </c>
    </row>
    <row r="207" spans="1:15">
      <c r="A207" s="166"/>
      <c r="B207" s="169"/>
      <c r="C207" s="115"/>
      <c r="D207" s="117"/>
      <c r="E207" s="163"/>
      <c r="F207" s="123"/>
      <c r="G207" s="25" t="s">
        <v>556</v>
      </c>
      <c r="H207" s="86" t="s">
        <v>557</v>
      </c>
      <c r="I207" s="85">
        <v>1.9E-2</v>
      </c>
      <c r="J207" s="25" t="s">
        <v>37</v>
      </c>
      <c r="K207" s="26" t="s">
        <v>558</v>
      </c>
      <c r="L207" s="26">
        <v>3</v>
      </c>
      <c r="M207" s="26" t="b">
        <v>1</v>
      </c>
      <c r="N207" s="26" t="b">
        <v>0</v>
      </c>
      <c r="O207" s="70" t="s">
        <v>559</v>
      </c>
    </row>
    <row r="208" spans="1:15">
      <c r="A208" s="166"/>
      <c r="B208" s="169"/>
      <c r="C208" s="115"/>
      <c r="D208" s="117"/>
      <c r="E208" s="163"/>
      <c r="F208" s="123"/>
      <c r="G208" s="25" t="s">
        <v>532</v>
      </c>
      <c r="H208" s="66" t="s">
        <v>560</v>
      </c>
      <c r="I208" s="85">
        <v>1.9E-2</v>
      </c>
      <c r="J208" s="25" t="s">
        <v>37</v>
      </c>
      <c r="K208" s="26" t="s">
        <v>561</v>
      </c>
      <c r="L208" s="26">
        <v>4</v>
      </c>
      <c r="M208" s="26" t="b">
        <v>1</v>
      </c>
      <c r="N208" s="26" t="b">
        <v>0</v>
      </c>
      <c r="O208" s="58" t="s">
        <v>39</v>
      </c>
    </row>
    <row r="209" spans="1:15" ht="16.149999999999999" thickBot="1">
      <c r="A209" s="166"/>
      <c r="B209" s="169"/>
      <c r="C209" s="115"/>
      <c r="D209" s="117"/>
      <c r="E209" s="163"/>
      <c r="F209" s="123"/>
      <c r="G209" s="18" t="s">
        <v>1039</v>
      </c>
      <c r="H209" s="35" t="s">
        <v>1040</v>
      </c>
      <c r="I209" s="36">
        <v>9.4999999999999998E-3</v>
      </c>
      <c r="J209" s="18" t="s">
        <v>37</v>
      </c>
      <c r="K209" s="19" t="s">
        <v>1041</v>
      </c>
      <c r="L209" s="19">
        <v>4</v>
      </c>
      <c r="M209" s="19" t="b">
        <v>1</v>
      </c>
      <c r="N209" s="19" t="b">
        <v>1</v>
      </c>
      <c r="O209" s="58" t="s">
        <v>39</v>
      </c>
    </row>
    <row r="210" spans="1:15">
      <c r="A210" s="105" t="s">
        <v>562</v>
      </c>
      <c r="B210" s="109" t="s">
        <v>563</v>
      </c>
      <c r="C210" s="113">
        <v>0.26</v>
      </c>
      <c r="D210" s="126" t="s">
        <v>564</v>
      </c>
      <c r="E210" s="128" t="s">
        <v>565</v>
      </c>
      <c r="F210" s="91">
        <v>0.27</v>
      </c>
      <c r="G210" s="134" t="s">
        <v>566</v>
      </c>
      <c r="H210" s="128" t="s">
        <v>567</v>
      </c>
      <c r="I210" s="91">
        <v>0.1</v>
      </c>
      <c r="J210" s="134" t="s">
        <v>21</v>
      </c>
      <c r="K210" s="12" t="s">
        <v>568</v>
      </c>
      <c r="L210" s="13"/>
      <c r="M210" s="13"/>
      <c r="N210" s="13"/>
      <c r="O210" s="73"/>
    </row>
    <row r="211" spans="1:15">
      <c r="A211" s="106"/>
      <c r="B211" s="110"/>
      <c r="C211" s="114"/>
      <c r="D211" s="127"/>
      <c r="E211" s="129"/>
      <c r="F211" s="92"/>
      <c r="G211" s="135"/>
      <c r="H211" s="129"/>
      <c r="I211" s="92"/>
      <c r="J211" s="135"/>
      <c r="K211" s="15" t="s">
        <v>569</v>
      </c>
      <c r="O211" s="71"/>
    </row>
    <row r="212" spans="1:15">
      <c r="A212" s="106"/>
      <c r="B212" s="110"/>
      <c r="C212" s="114"/>
      <c r="D212" s="127"/>
      <c r="E212" s="129"/>
      <c r="F212" s="92"/>
      <c r="G212" s="135"/>
      <c r="H212" s="129"/>
      <c r="I212" s="92"/>
      <c r="J212" s="135"/>
      <c r="K212" s="15" t="s">
        <v>570</v>
      </c>
      <c r="O212" s="71"/>
    </row>
    <row r="213" spans="1:15">
      <c r="A213" s="106"/>
      <c r="B213" s="110"/>
      <c r="C213" s="114"/>
      <c r="D213" s="127"/>
      <c r="E213" s="129"/>
      <c r="F213" s="92"/>
      <c r="G213" s="50" t="s">
        <v>571</v>
      </c>
      <c r="H213" s="40" t="s">
        <v>572</v>
      </c>
      <c r="I213" s="42">
        <v>0.1</v>
      </c>
      <c r="J213" s="50" t="s">
        <v>21</v>
      </c>
      <c r="K213" s="15" t="s">
        <v>572</v>
      </c>
      <c r="O213" s="71"/>
    </row>
    <row r="214" spans="1:15">
      <c r="A214" s="106"/>
      <c r="B214" s="110"/>
      <c r="C214" s="114"/>
      <c r="D214" s="127"/>
      <c r="E214" s="129"/>
      <c r="F214" s="92"/>
      <c r="G214" s="50" t="s">
        <v>573</v>
      </c>
      <c r="H214" s="40" t="s">
        <v>569</v>
      </c>
      <c r="I214" s="42">
        <v>7.0000000000000007E-2</v>
      </c>
      <c r="J214" s="50" t="s">
        <v>21</v>
      </c>
      <c r="K214" s="15" t="s">
        <v>569</v>
      </c>
      <c r="O214" s="71"/>
    </row>
    <row r="215" spans="1:15" ht="31.5">
      <c r="A215" s="106"/>
      <c r="B215" s="110"/>
      <c r="C215" s="114"/>
      <c r="D215" s="93" t="s">
        <v>574</v>
      </c>
      <c r="E215" s="94" t="s">
        <v>575</v>
      </c>
      <c r="F215" s="95">
        <v>0.22600000000000001</v>
      </c>
      <c r="G215" s="18" t="s">
        <v>576</v>
      </c>
      <c r="H215" s="59" t="s">
        <v>577</v>
      </c>
      <c r="I215" s="36">
        <v>3.7499999999999999E-2</v>
      </c>
      <c r="J215" s="18" t="s">
        <v>37</v>
      </c>
      <c r="K215" s="19" t="s">
        <v>578</v>
      </c>
      <c r="L215" s="19">
        <v>3</v>
      </c>
      <c r="M215" s="19" t="b">
        <v>1</v>
      </c>
      <c r="N215" s="19" t="b">
        <v>0</v>
      </c>
      <c r="O215" s="60" t="s">
        <v>579</v>
      </c>
    </row>
    <row r="216" spans="1:15" ht="31.5">
      <c r="A216" s="106"/>
      <c r="B216" s="110"/>
      <c r="C216" s="114"/>
      <c r="D216" s="93"/>
      <c r="E216" s="94"/>
      <c r="F216" s="95"/>
      <c r="G216" s="18" t="s">
        <v>580</v>
      </c>
      <c r="H216" s="59" t="s">
        <v>581</v>
      </c>
      <c r="I216" s="36">
        <v>3.7499999999999999E-2</v>
      </c>
      <c r="J216" s="18" t="s">
        <v>37</v>
      </c>
      <c r="K216" s="19" t="s">
        <v>582</v>
      </c>
      <c r="L216" s="19">
        <v>3</v>
      </c>
      <c r="M216" s="19" t="b">
        <v>1</v>
      </c>
      <c r="N216" s="19" t="b">
        <v>0</v>
      </c>
      <c r="O216" s="60" t="s">
        <v>583</v>
      </c>
    </row>
    <row r="217" spans="1:15" ht="31.5">
      <c r="A217" s="106"/>
      <c r="B217" s="110"/>
      <c r="C217" s="114"/>
      <c r="D217" s="93"/>
      <c r="E217" s="94"/>
      <c r="F217" s="95"/>
      <c r="G217" s="18" t="s">
        <v>584</v>
      </c>
      <c r="H217" s="59" t="s">
        <v>585</v>
      </c>
      <c r="I217" s="36">
        <v>3.7499999999999999E-2</v>
      </c>
      <c r="J217" s="18" t="s">
        <v>37</v>
      </c>
      <c r="K217" s="19" t="s">
        <v>586</v>
      </c>
      <c r="L217" s="19">
        <v>3</v>
      </c>
      <c r="M217" s="19" t="b">
        <v>1</v>
      </c>
      <c r="N217" s="19" t="b">
        <v>0</v>
      </c>
      <c r="O217" s="60" t="s">
        <v>587</v>
      </c>
    </row>
    <row r="218" spans="1:15" ht="47.25">
      <c r="A218" s="106"/>
      <c r="B218" s="110"/>
      <c r="C218" s="114"/>
      <c r="D218" s="93"/>
      <c r="E218" s="94"/>
      <c r="F218" s="95"/>
      <c r="G218" s="18" t="s">
        <v>588</v>
      </c>
      <c r="H218" s="35" t="s">
        <v>589</v>
      </c>
      <c r="I218" s="36">
        <v>3.7499999999999999E-2</v>
      </c>
      <c r="J218" s="18" t="s">
        <v>37</v>
      </c>
      <c r="K218" s="19" t="s">
        <v>590</v>
      </c>
      <c r="L218" s="19">
        <v>3</v>
      </c>
      <c r="M218" s="19" t="b">
        <v>1</v>
      </c>
      <c r="N218" s="19" t="b">
        <v>0</v>
      </c>
      <c r="O218" s="60" t="s">
        <v>591</v>
      </c>
    </row>
    <row r="219" spans="1:15">
      <c r="A219" s="106"/>
      <c r="B219" s="110"/>
      <c r="C219" s="114"/>
      <c r="D219" s="93"/>
      <c r="E219" s="94"/>
      <c r="F219" s="95"/>
      <c r="G219" s="18" t="s">
        <v>592</v>
      </c>
      <c r="H219" s="35" t="s">
        <v>593</v>
      </c>
      <c r="I219" s="36">
        <v>3.7999999999999999E-2</v>
      </c>
      <c r="J219" s="18" t="s">
        <v>37</v>
      </c>
      <c r="K219" s="19" t="s">
        <v>594</v>
      </c>
      <c r="L219" s="19">
        <v>3</v>
      </c>
      <c r="M219" s="19" t="b">
        <v>1</v>
      </c>
      <c r="N219" s="19" t="b">
        <v>0</v>
      </c>
      <c r="O219" s="58" t="s">
        <v>595</v>
      </c>
    </row>
    <row r="220" spans="1:15" ht="47.25">
      <c r="A220" s="106"/>
      <c r="B220" s="110"/>
      <c r="C220" s="114"/>
      <c r="D220" s="93"/>
      <c r="E220" s="94"/>
      <c r="F220" s="95"/>
      <c r="G220" s="18" t="s">
        <v>596</v>
      </c>
      <c r="H220" s="35" t="s">
        <v>597</v>
      </c>
      <c r="I220" s="36">
        <v>3.7999999999999999E-2</v>
      </c>
      <c r="J220" s="18" t="s">
        <v>37</v>
      </c>
      <c r="K220" s="19" t="s">
        <v>598</v>
      </c>
      <c r="L220" s="19">
        <v>3</v>
      </c>
      <c r="M220" s="19" t="b">
        <v>1</v>
      </c>
      <c r="N220" s="19" t="b">
        <v>0</v>
      </c>
      <c r="O220" s="60" t="s">
        <v>599</v>
      </c>
    </row>
    <row r="221" spans="1:15">
      <c r="A221" s="106"/>
      <c r="B221" s="110"/>
      <c r="C221" s="114"/>
      <c r="D221" s="130" t="s">
        <v>600</v>
      </c>
      <c r="E221" s="132" t="s">
        <v>601</v>
      </c>
      <c r="F221" s="101">
        <v>0.153</v>
      </c>
      <c r="G221" s="103" t="s">
        <v>602</v>
      </c>
      <c r="H221" s="99" t="s">
        <v>603</v>
      </c>
      <c r="I221" s="101">
        <v>0.153</v>
      </c>
      <c r="J221" s="103" t="s">
        <v>29</v>
      </c>
      <c r="K221" s="17" t="s">
        <v>604</v>
      </c>
      <c r="O221" s="71"/>
    </row>
    <row r="222" spans="1:15">
      <c r="A222" s="106"/>
      <c r="B222" s="110"/>
      <c r="C222" s="114"/>
      <c r="D222" s="130"/>
      <c r="E222" s="132"/>
      <c r="F222" s="101"/>
      <c r="G222" s="103"/>
      <c r="H222" s="99"/>
      <c r="I222" s="101"/>
      <c r="J222" s="103"/>
      <c r="K222" s="17" t="s">
        <v>605</v>
      </c>
      <c r="O222" s="71"/>
    </row>
    <row r="223" spans="1:15">
      <c r="A223" s="106"/>
      <c r="B223" s="110"/>
      <c r="C223" s="114"/>
      <c r="D223" s="130"/>
      <c r="E223" s="132"/>
      <c r="F223" s="101"/>
      <c r="G223" s="103"/>
      <c r="H223" s="99"/>
      <c r="I223" s="101"/>
      <c r="J223" s="103"/>
      <c r="K223" s="17" t="s">
        <v>606</v>
      </c>
      <c r="O223" s="71"/>
    </row>
    <row r="224" spans="1:15">
      <c r="A224" s="106"/>
      <c r="B224" s="110"/>
      <c r="C224" s="114"/>
      <c r="D224" s="93" t="s">
        <v>607</v>
      </c>
      <c r="E224" s="94" t="s">
        <v>608</v>
      </c>
      <c r="F224" s="95">
        <v>0.35099999999999998</v>
      </c>
      <c r="G224" s="18" t="s">
        <v>609</v>
      </c>
      <c r="H224" s="59" t="s">
        <v>610</v>
      </c>
      <c r="I224" s="36">
        <v>3.9E-2</v>
      </c>
      <c r="J224" s="18" t="s">
        <v>37</v>
      </c>
      <c r="K224" s="19" t="s">
        <v>611</v>
      </c>
      <c r="L224" s="19">
        <v>3</v>
      </c>
      <c r="M224" s="19" t="b">
        <v>1</v>
      </c>
      <c r="N224" s="19" t="b">
        <v>0</v>
      </c>
      <c r="O224" s="58" t="s">
        <v>39</v>
      </c>
    </row>
    <row r="225" spans="1:15">
      <c r="A225" s="106"/>
      <c r="B225" s="110"/>
      <c r="C225" s="114"/>
      <c r="D225" s="93"/>
      <c r="E225" s="94"/>
      <c r="F225" s="95"/>
      <c r="G225" s="18" t="s">
        <v>612</v>
      </c>
      <c r="H225" s="59" t="s">
        <v>613</v>
      </c>
      <c r="I225" s="36">
        <v>3.9E-2</v>
      </c>
      <c r="J225" s="18" t="s">
        <v>37</v>
      </c>
      <c r="K225" s="19" t="s">
        <v>614</v>
      </c>
      <c r="L225" s="19">
        <v>3</v>
      </c>
      <c r="M225" s="19" t="b">
        <v>1</v>
      </c>
      <c r="N225" s="19" t="b">
        <v>0</v>
      </c>
      <c r="O225" s="58" t="s">
        <v>39</v>
      </c>
    </row>
    <row r="226" spans="1:15">
      <c r="A226" s="106"/>
      <c r="B226" s="110"/>
      <c r="C226" s="114"/>
      <c r="D226" s="93"/>
      <c r="E226" s="94"/>
      <c r="F226" s="95"/>
      <c r="G226" s="18" t="s">
        <v>615</v>
      </c>
      <c r="H226" s="59" t="s">
        <v>616</v>
      </c>
      <c r="I226" s="36">
        <v>3.9E-2</v>
      </c>
      <c r="J226" s="18" t="s">
        <v>37</v>
      </c>
      <c r="K226" s="19" t="s">
        <v>617</v>
      </c>
      <c r="L226" s="19">
        <v>3</v>
      </c>
      <c r="M226" s="19" t="b">
        <v>1</v>
      </c>
      <c r="N226" s="19" t="b">
        <v>0</v>
      </c>
      <c r="O226" s="58" t="s">
        <v>39</v>
      </c>
    </row>
    <row r="227" spans="1:15" ht="31.5">
      <c r="A227" s="106"/>
      <c r="B227" s="110"/>
      <c r="C227" s="114"/>
      <c r="D227" s="93"/>
      <c r="E227" s="94"/>
      <c r="F227" s="95"/>
      <c r="G227" s="18" t="s">
        <v>618</v>
      </c>
      <c r="H227" s="59" t="s">
        <v>619</v>
      </c>
      <c r="I227" s="36">
        <v>3.9E-2</v>
      </c>
      <c r="J227" s="18" t="s">
        <v>37</v>
      </c>
      <c r="K227" s="19" t="s">
        <v>620</v>
      </c>
      <c r="L227" s="19">
        <v>3</v>
      </c>
      <c r="M227" s="19" t="b">
        <v>1</v>
      </c>
      <c r="N227" s="19" t="b">
        <v>0</v>
      </c>
      <c r="O227" s="60" t="s">
        <v>621</v>
      </c>
    </row>
    <row r="228" spans="1:15" ht="31.5">
      <c r="A228" s="106"/>
      <c r="B228" s="110"/>
      <c r="C228" s="114"/>
      <c r="D228" s="93"/>
      <c r="E228" s="94"/>
      <c r="F228" s="95"/>
      <c r="G228" s="18" t="s">
        <v>622</v>
      </c>
      <c r="H228" s="59" t="s">
        <v>623</v>
      </c>
      <c r="I228" s="36">
        <v>3.9E-2</v>
      </c>
      <c r="J228" s="18" t="s">
        <v>37</v>
      </c>
      <c r="K228" s="19" t="s">
        <v>624</v>
      </c>
      <c r="L228" s="19">
        <v>3</v>
      </c>
      <c r="M228" s="19" t="b">
        <v>1</v>
      </c>
      <c r="N228" s="19" t="b">
        <v>0</v>
      </c>
      <c r="O228" s="60" t="s">
        <v>621</v>
      </c>
    </row>
    <row r="229" spans="1:15">
      <c r="A229" s="106"/>
      <c r="B229" s="110"/>
      <c r="C229" s="114"/>
      <c r="D229" s="93"/>
      <c r="E229" s="94"/>
      <c r="F229" s="95"/>
      <c r="G229" s="18" t="s">
        <v>625</v>
      </c>
      <c r="H229" s="59" t="s">
        <v>626</v>
      </c>
      <c r="I229" s="36">
        <v>3.9E-2</v>
      </c>
      <c r="J229" s="18" t="s">
        <v>37</v>
      </c>
      <c r="K229" s="19" t="s">
        <v>627</v>
      </c>
      <c r="L229" s="19">
        <v>3</v>
      </c>
      <c r="M229" s="19" t="b">
        <v>1</v>
      </c>
      <c r="N229" s="19" t="b">
        <v>0</v>
      </c>
      <c r="O229" s="58" t="s">
        <v>39</v>
      </c>
    </row>
    <row r="230" spans="1:15">
      <c r="A230" s="106"/>
      <c r="B230" s="110"/>
      <c r="C230" s="114"/>
      <c r="D230" s="93"/>
      <c r="E230" s="94"/>
      <c r="F230" s="95"/>
      <c r="G230" s="18" t="s">
        <v>628</v>
      </c>
      <c r="H230" s="59" t="s">
        <v>629</v>
      </c>
      <c r="I230" s="36">
        <v>3.9E-2</v>
      </c>
      <c r="J230" s="18" t="s">
        <v>37</v>
      </c>
      <c r="K230" s="19" t="s">
        <v>630</v>
      </c>
      <c r="L230" s="19">
        <v>3</v>
      </c>
      <c r="M230" s="19" t="b">
        <v>1</v>
      </c>
      <c r="N230" s="19" t="b">
        <v>0</v>
      </c>
      <c r="O230" s="58" t="s">
        <v>39</v>
      </c>
    </row>
    <row r="231" spans="1:15">
      <c r="A231" s="106"/>
      <c r="B231" s="110"/>
      <c r="C231" s="114"/>
      <c r="D231" s="93"/>
      <c r="E231" s="94"/>
      <c r="F231" s="95"/>
      <c r="G231" s="18" t="s">
        <v>631</v>
      </c>
      <c r="H231" s="59" t="s">
        <v>632</v>
      </c>
      <c r="I231" s="36">
        <v>3.9E-2</v>
      </c>
      <c r="J231" s="18" t="s">
        <v>37</v>
      </c>
      <c r="K231" s="19" t="s">
        <v>633</v>
      </c>
      <c r="L231" s="19">
        <v>3</v>
      </c>
      <c r="M231" s="19" t="b">
        <v>1</v>
      </c>
      <c r="N231" s="19" t="b">
        <v>0</v>
      </c>
      <c r="O231" s="58" t="s">
        <v>39</v>
      </c>
    </row>
    <row r="232" spans="1:15" ht="16.149999999999999" thickBot="1">
      <c r="A232" s="108"/>
      <c r="B232" s="112"/>
      <c r="C232" s="116"/>
      <c r="D232" s="146"/>
      <c r="E232" s="147"/>
      <c r="F232" s="148"/>
      <c r="G232" s="21" t="s">
        <v>634</v>
      </c>
      <c r="H232" s="79" t="s">
        <v>635</v>
      </c>
      <c r="I232" s="53">
        <v>3.9E-2</v>
      </c>
      <c r="J232" s="21" t="s">
        <v>37</v>
      </c>
      <c r="K232" s="22" t="s">
        <v>636</v>
      </c>
      <c r="L232" s="22">
        <v>3</v>
      </c>
      <c r="M232" s="22" t="b">
        <v>1</v>
      </c>
      <c r="N232" s="22" t="b">
        <v>0</v>
      </c>
      <c r="O232" s="72" t="s">
        <v>39</v>
      </c>
    </row>
    <row r="233" spans="1:15">
      <c r="A233" s="105" t="s">
        <v>637</v>
      </c>
      <c r="B233" s="109" t="s">
        <v>638</v>
      </c>
      <c r="C233" s="113">
        <v>0.26</v>
      </c>
      <c r="D233" s="126" t="s">
        <v>639</v>
      </c>
      <c r="E233" s="128" t="s">
        <v>640</v>
      </c>
      <c r="F233" s="91">
        <v>0.27</v>
      </c>
      <c r="G233" s="134" t="s">
        <v>641</v>
      </c>
      <c r="H233" s="136" t="s">
        <v>642</v>
      </c>
      <c r="I233" s="91">
        <v>0.1</v>
      </c>
      <c r="J233" s="134" t="s">
        <v>21</v>
      </c>
      <c r="K233" s="12" t="s">
        <v>643</v>
      </c>
      <c r="L233" s="13"/>
      <c r="M233" s="13"/>
      <c r="N233" s="13"/>
      <c r="O233" s="73"/>
    </row>
    <row r="234" spans="1:15">
      <c r="A234" s="106"/>
      <c r="B234" s="110"/>
      <c r="C234" s="114"/>
      <c r="D234" s="127"/>
      <c r="E234" s="129"/>
      <c r="F234" s="92"/>
      <c r="G234" s="135"/>
      <c r="H234" s="137"/>
      <c r="I234" s="92"/>
      <c r="J234" s="135"/>
      <c r="K234" s="15" t="s">
        <v>644</v>
      </c>
      <c r="O234" s="71"/>
    </row>
    <row r="235" spans="1:15">
      <c r="A235" s="106"/>
      <c r="B235" s="110"/>
      <c r="C235" s="114"/>
      <c r="D235" s="127"/>
      <c r="E235" s="129"/>
      <c r="F235" s="92"/>
      <c r="G235" s="135"/>
      <c r="H235" s="137"/>
      <c r="I235" s="92"/>
      <c r="J235" s="135"/>
      <c r="K235" s="15" t="s">
        <v>645</v>
      </c>
      <c r="O235" s="71"/>
    </row>
    <row r="236" spans="1:15">
      <c r="A236" s="106"/>
      <c r="B236" s="110"/>
      <c r="C236" s="114"/>
      <c r="D236" s="127"/>
      <c r="E236" s="129"/>
      <c r="F236" s="92"/>
      <c r="G236" s="50" t="s">
        <v>646</v>
      </c>
      <c r="H236" s="80" t="s">
        <v>647</v>
      </c>
      <c r="I236" s="42">
        <v>0.1</v>
      </c>
      <c r="J236" s="50" t="s">
        <v>21</v>
      </c>
      <c r="K236" s="15" t="s">
        <v>647</v>
      </c>
      <c r="O236" s="71"/>
    </row>
    <row r="237" spans="1:15">
      <c r="A237" s="106"/>
      <c r="B237" s="110"/>
      <c r="C237" s="114"/>
      <c r="D237" s="127"/>
      <c r="E237" s="129"/>
      <c r="F237" s="92"/>
      <c r="G237" s="50" t="s">
        <v>648</v>
      </c>
      <c r="H237" s="80" t="s">
        <v>644</v>
      </c>
      <c r="I237" s="42">
        <v>7.0000000000000007E-2</v>
      </c>
      <c r="J237" s="50" t="s">
        <v>21</v>
      </c>
      <c r="K237" s="15" t="s">
        <v>644</v>
      </c>
      <c r="O237" s="71"/>
    </row>
    <row r="238" spans="1:15">
      <c r="A238" s="106"/>
      <c r="B238" s="110"/>
      <c r="C238" s="114"/>
      <c r="D238" s="93" t="s">
        <v>649</v>
      </c>
      <c r="E238" s="94" t="s">
        <v>650</v>
      </c>
      <c r="F238" s="95">
        <v>0.26700000000000002</v>
      </c>
      <c r="G238" s="18" t="s">
        <v>651</v>
      </c>
      <c r="H238" s="59" t="s">
        <v>652</v>
      </c>
      <c r="I238" s="36">
        <v>4.8000000000000001E-2</v>
      </c>
      <c r="J238" s="18" t="s">
        <v>37</v>
      </c>
      <c r="K238" s="19" t="s">
        <v>653</v>
      </c>
      <c r="L238" s="19">
        <v>4</v>
      </c>
      <c r="M238" s="19" t="b">
        <v>1</v>
      </c>
      <c r="N238" s="19" t="b">
        <v>1</v>
      </c>
      <c r="O238" s="58" t="s">
        <v>39</v>
      </c>
    </row>
    <row r="239" spans="1:15">
      <c r="A239" s="106"/>
      <c r="B239" s="110"/>
      <c r="C239" s="114"/>
      <c r="D239" s="93"/>
      <c r="E239" s="94"/>
      <c r="F239" s="95"/>
      <c r="G239" s="18" t="s">
        <v>654</v>
      </c>
      <c r="H239" s="59" t="s">
        <v>655</v>
      </c>
      <c r="I239" s="36">
        <v>4.8000000000000001E-2</v>
      </c>
      <c r="J239" s="18" t="s">
        <v>37</v>
      </c>
      <c r="K239" s="19" t="s">
        <v>656</v>
      </c>
      <c r="L239" s="19">
        <v>4</v>
      </c>
      <c r="M239" s="19" t="b">
        <v>1</v>
      </c>
      <c r="N239" s="19" t="b">
        <v>1</v>
      </c>
      <c r="O239" s="58" t="s">
        <v>39</v>
      </c>
    </row>
    <row r="240" spans="1:15">
      <c r="A240" s="106"/>
      <c r="B240" s="110"/>
      <c r="C240" s="114"/>
      <c r="D240" s="93"/>
      <c r="E240" s="94"/>
      <c r="F240" s="95"/>
      <c r="G240" s="18" t="s">
        <v>657</v>
      </c>
      <c r="H240" s="59" t="s">
        <v>658</v>
      </c>
      <c r="I240" s="36">
        <v>4.8000000000000001E-2</v>
      </c>
      <c r="J240" s="18" t="s">
        <v>37</v>
      </c>
      <c r="K240" s="19" t="s">
        <v>659</v>
      </c>
      <c r="L240" s="19">
        <v>4</v>
      </c>
      <c r="M240" s="19" t="b">
        <v>1</v>
      </c>
      <c r="N240" s="19" t="b">
        <v>1</v>
      </c>
      <c r="O240" s="58" t="s">
        <v>39</v>
      </c>
    </row>
    <row r="241" spans="1:15">
      <c r="A241" s="106"/>
      <c r="B241" s="110"/>
      <c r="C241" s="114"/>
      <c r="D241" s="93"/>
      <c r="E241" s="94"/>
      <c r="F241" s="95"/>
      <c r="G241" s="18" t="s">
        <v>660</v>
      </c>
      <c r="H241" s="59" t="s">
        <v>661</v>
      </c>
      <c r="I241" s="36">
        <v>4.8000000000000001E-2</v>
      </c>
      <c r="J241" s="18" t="s">
        <v>37</v>
      </c>
      <c r="K241" s="19" t="s">
        <v>662</v>
      </c>
      <c r="L241" s="19">
        <v>4</v>
      </c>
      <c r="M241" s="19" t="b">
        <v>1</v>
      </c>
      <c r="N241" s="19" t="b">
        <v>1</v>
      </c>
      <c r="O241" s="58" t="s">
        <v>39</v>
      </c>
    </row>
    <row r="242" spans="1:15">
      <c r="A242" s="106"/>
      <c r="B242" s="110"/>
      <c r="C242" s="114"/>
      <c r="D242" s="93"/>
      <c r="E242" s="94"/>
      <c r="F242" s="95"/>
      <c r="G242" s="18" t="s">
        <v>663</v>
      </c>
      <c r="H242" s="59" t="s">
        <v>664</v>
      </c>
      <c r="I242" s="36">
        <v>4.8000000000000001E-2</v>
      </c>
      <c r="J242" s="18" t="s">
        <v>37</v>
      </c>
      <c r="K242" s="19" t="s">
        <v>665</v>
      </c>
      <c r="L242" s="19">
        <v>4</v>
      </c>
      <c r="M242" s="19" t="b">
        <v>1</v>
      </c>
      <c r="N242" s="19" t="b">
        <v>1</v>
      </c>
      <c r="O242" s="58" t="s">
        <v>39</v>
      </c>
    </row>
    <row r="243" spans="1:15">
      <c r="A243" s="106"/>
      <c r="B243" s="110"/>
      <c r="C243" s="114"/>
      <c r="D243" s="93"/>
      <c r="E243" s="94"/>
      <c r="F243" s="95"/>
      <c r="G243" s="18" t="s">
        <v>666</v>
      </c>
      <c r="H243" s="59" t="s">
        <v>667</v>
      </c>
      <c r="I243" s="36">
        <v>1.35E-2</v>
      </c>
      <c r="J243" s="18" t="s">
        <v>37</v>
      </c>
      <c r="K243" s="19" t="s">
        <v>668</v>
      </c>
      <c r="L243" s="19">
        <v>3</v>
      </c>
      <c r="M243" s="19" t="b">
        <v>1</v>
      </c>
      <c r="N243" s="19" t="b">
        <v>0</v>
      </c>
      <c r="O243" s="58" t="s">
        <v>39</v>
      </c>
    </row>
    <row r="244" spans="1:15">
      <c r="A244" s="106"/>
      <c r="B244" s="110"/>
      <c r="C244" s="114"/>
      <c r="D244" s="93"/>
      <c r="E244" s="94"/>
      <c r="F244" s="95"/>
      <c r="G244" s="18" t="s">
        <v>669</v>
      </c>
      <c r="H244" s="59" t="s">
        <v>670</v>
      </c>
      <c r="I244" s="36">
        <v>1.35E-2</v>
      </c>
      <c r="J244" s="18" t="s">
        <v>37</v>
      </c>
      <c r="K244" s="19" t="s">
        <v>671</v>
      </c>
      <c r="L244" s="19">
        <v>3</v>
      </c>
      <c r="M244" s="19" t="b">
        <v>1</v>
      </c>
      <c r="N244" s="19" t="b">
        <v>0</v>
      </c>
      <c r="O244" s="58" t="s">
        <v>39</v>
      </c>
    </row>
    <row r="245" spans="1:15">
      <c r="A245" s="106"/>
      <c r="B245" s="110"/>
      <c r="C245" s="114"/>
      <c r="D245" s="106" t="s">
        <v>672</v>
      </c>
      <c r="E245" s="153" t="s">
        <v>673</v>
      </c>
      <c r="F245" s="114">
        <v>0.27</v>
      </c>
      <c r="G245" s="18" t="s">
        <v>674</v>
      </c>
      <c r="H245" s="59" t="s">
        <v>675</v>
      </c>
      <c r="I245" s="36">
        <v>0.13500000000000001</v>
      </c>
      <c r="J245" s="18" t="s">
        <v>37</v>
      </c>
      <c r="K245" s="19" t="s">
        <v>676</v>
      </c>
      <c r="L245" s="19">
        <v>3</v>
      </c>
      <c r="M245" s="19" t="b">
        <v>1</v>
      </c>
      <c r="N245" s="19" t="b">
        <v>0</v>
      </c>
      <c r="O245" s="58" t="s">
        <v>85</v>
      </c>
    </row>
    <row r="246" spans="1:15">
      <c r="A246" s="106"/>
      <c r="B246" s="110"/>
      <c r="C246" s="114"/>
      <c r="D246" s="106"/>
      <c r="E246" s="153"/>
      <c r="F246" s="114"/>
      <c r="G246" s="103" t="s">
        <v>677</v>
      </c>
      <c r="H246" s="99" t="s">
        <v>678</v>
      </c>
      <c r="I246" s="101">
        <v>0.13500000000000001</v>
      </c>
      <c r="J246" s="103" t="s">
        <v>29</v>
      </c>
      <c r="K246" s="17" t="s">
        <v>679</v>
      </c>
      <c r="L246" s="27"/>
      <c r="M246" s="27"/>
      <c r="N246" s="27"/>
      <c r="O246" s="76"/>
    </row>
    <row r="247" spans="1:15">
      <c r="A247" s="106"/>
      <c r="B247" s="110"/>
      <c r="C247" s="114"/>
      <c r="D247" s="106"/>
      <c r="E247" s="153"/>
      <c r="F247" s="114"/>
      <c r="G247" s="103"/>
      <c r="H247" s="99"/>
      <c r="I247" s="101"/>
      <c r="J247" s="103"/>
      <c r="K247" s="17" t="s">
        <v>680</v>
      </c>
      <c r="L247" s="27"/>
      <c r="M247" s="27"/>
      <c r="N247" s="27"/>
      <c r="O247" s="76"/>
    </row>
    <row r="248" spans="1:15">
      <c r="A248" s="106"/>
      <c r="B248" s="110"/>
      <c r="C248" s="114"/>
      <c r="D248" s="106"/>
      <c r="E248" s="153"/>
      <c r="F248" s="114"/>
      <c r="G248" s="103"/>
      <c r="H248" s="99"/>
      <c r="I248" s="101"/>
      <c r="J248" s="103"/>
      <c r="K248" s="17" t="s">
        <v>681</v>
      </c>
      <c r="L248" s="27"/>
      <c r="M248" s="27"/>
      <c r="N248" s="27"/>
      <c r="O248" s="76"/>
    </row>
    <row r="249" spans="1:15" ht="16.149999999999999" thickBot="1">
      <c r="A249" s="108"/>
      <c r="B249" s="112"/>
      <c r="C249" s="116"/>
      <c r="D249" s="51" t="s">
        <v>682</v>
      </c>
      <c r="E249" s="52" t="s">
        <v>683</v>
      </c>
      <c r="F249" s="53">
        <v>0.193</v>
      </c>
      <c r="G249" s="21" t="s">
        <v>684</v>
      </c>
      <c r="H249" s="79" t="s">
        <v>683</v>
      </c>
      <c r="I249" s="53">
        <v>0.193</v>
      </c>
      <c r="J249" s="21" t="s">
        <v>37</v>
      </c>
      <c r="K249" s="22" t="s">
        <v>685</v>
      </c>
      <c r="L249" s="22">
        <v>3</v>
      </c>
      <c r="M249" s="22" t="b">
        <v>1</v>
      </c>
      <c r="N249" s="22" t="b">
        <v>0</v>
      </c>
      <c r="O249" s="72" t="s">
        <v>686</v>
      </c>
    </row>
    <row r="250" spans="1:15">
      <c r="A250" s="105" t="s">
        <v>687</v>
      </c>
      <c r="B250" s="109" t="s">
        <v>688</v>
      </c>
      <c r="C250" s="113">
        <v>0.26</v>
      </c>
      <c r="D250" s="126" t="s">
        <v>689</v>
      </c>
      <c r="E250" s="128" t="s">
        <v>690</v>
      </c>
      <c r="F250" s="91">
        <v>0.27</v>
      </c>
      <c r="G250" s="134" t="s">
        <v>691</v>
      </c>
      <c r="H250" s="136" t="s">
        <v>692</v>
      </c>
      <c r="I250" s="91">
        <v>0.1</v>
      </c>
      <c r="J250" s="134" t="s">
        <v>21</v>
      </c>
      <c r="K250" s="12" t="s">
        <v>693</v>
      </c>
      <c r="L250" s="13"/>
      <c r="M250" s="13"/>
      <c r="N250" s="13"/>
      <c r="O250" s="73"/>
    </row>
    <row r="251" spans="1:15">
      <c r="A251" s="106"/>
      <c r="B251" s="110"/>
      <c r="C251" s="114"/>
      <c r="D251" s="127"/>
      <c r="E251" s="129"/>
      <c r="F251" s="92"/>
      <c r="G251" s="135"/>
      <c r="H251" s="137"/>
      <c r="I251" s="92"/>
      <c r="J251" s="135"/>
      <c r="K251" s="15" t="s">
        <v>694</v>
      </c>
      <c r="O251" s="71"/>
    </row>
    <row r="252" spans="1:15">
      <c r="A252" s="106"/>
      <c r="B252" s="110"/>
      <c r="C252" s="114"/>
      <c r="D252" s="127"/>
      <c r="E252" s="129"/>
      <c r="F252" s="92"/>
      <c r="G252" s="135"/>
      <c r="H252" s="137"/>
      <c r="I252" s="92"/>
      <c r="J252" s="135"/>
      <c r="K252" s="15" t="s">
        <v>695</v>
      </c>
      <c r="O252" s="71"/>
    </row>
    <row r="253" spans="1:15">
      <c r="A253" s="106"/>
      <c r="B253" s="110"/>
      <c r="C253" s="114"/>
      <c r="D253" s="127"/>
      <c r="E253" s="129"/>
      <c r="F253" s="92"/>
      <c r="G253" s="50" t="s">
        <v>696</v>
      </c>
      <c r="H253" s="80" t="s">
        <v>697</v>
      </c>
      <c r="I253" s="42">
        <v>0.1</v>
      </c>
      <c r="J253" s="50" t="s">
        <v>21</v>
      </c>
      <c r="K253" s="15" t="s">
        <v>697</v>
      </c>
      <c r="O253" s="71"/>
    </row>
    <row r="254" spans="1:15">
      <c r="A254" s="106"/>
      <c r="B254" s="110"/>
      <c r="C254" s="114"/>
      <c r="D254" s="127"/>
      <c r="E254" s="129"/>
      <c r="F254" s="92"/>
      <c r="G254" s="50" t="s">
        <v>698</v>
      </c>
      <c r="H254" s="80" t="s">
        <v>694</v>
      </c>
      <c r="I254" s="42">
        <v>7.0000000000000007E-2</v>
      </c>
      <c r="J254" s="50" t="s">
        <v>21</v>
      </c>
      <c r="K254" s="15" t="s">
        <v>694</v>
      </c>
      <c r="O254" s="71"/>
    </row>
    <row r="255" spans="1:15" ht="17.2" customHeight="1">
      <c r="A255" s="106"/>
      <c r="B255" s="110"/>
      <c r="C255" s="114"/>
      <c r="D255" s="106" t="s">
        <v>699</v>
      </c>
      <c r="E255" s="153" t="s">
        <v>700</v>
      </c>
      <c r="F255" s="154">
        <v>0.27</v>
      </c>
      <c r="G255" s="61" t="s">
        <v>701</v>
      </c>
      <c r="H255" s="61" t="s">
        <v>702</v>
      </c>
      <c r="I255" s="62">
        <v>0.13500000000000001</v>
      </c>
      <c r="J255" s="61" t="s">
        <v>37</v>
      </c>
      <c r="K255" s="63" t="s">
        <v>703</v>
      </c>
      <c r="L255" s="19">
        <v>3</v>
      </c>
      <c r="M255" s="19" t="b">
        <v>1</v>
      </c>
      <c r="N255" s="19" t="b">
        <v>0</v>
      </c>
      <c r="O255" s="58" t="s">
        <v>85</v>
      </c>
    </row>
    <row r="256" spans="1:15" ht="17.2" customHeight="1">
      <c r="A256" s="106"/>
      <c r="B256" s="110"/>
      <c r="C256" s="114"/>
      <c r="D256" s="106"/>
      <c r="E256" s="153"/>
      <c r="F256" s="154"/>
      <c r="G256" s="149" t="s">
        <v>704</v>
      </c>
      <c r="H256" s="149" t="s">
        <v>705</v>
      </c>
      <c r="I256" s="160">
        <v>0.13500000000000001</v>
      </c>
      <c r="J256" s="99" t="s">
        <v>29</v>
      </c>
      <c r="K256" s="64" t="s">
        <v>388</v>
      </c>
      <c r="O256" s="71"/>
    </row>
    <row r="257" spans="1:16" ht="17.2" customHeight="1">
      <c r="A257" s="106"/>
      <c r="B257" s="110"/>
      <c r="C257" s="114"/>
      <c r="D257" s="106"/>
      <c r="E257" s="153"/>
      <c r="F257" s="154"/>
      <c r="G257" s="150"/>
      <c r="H257" s="150"/>
      <c r="I257" s="161"/>
      <c r="J257" s="99"/>
      <c r="K257" s="64" t="s">
        <v>706</v>
      </c>
      <c r="O257" s="71"/>
    </row>
    <row r="258" spans="1:16" ht="17.2" customHeight="1">
      <c r="A258" s="106"/>
      <c r="B258" s="110"/>
      <c r="C258" s="114"/>
      <c r="D258" s="106"/>
      <c r="E258" s="153"/>
      <c r="F258" s="154"/>
      <c r="G258" s="151"/>
      <c r="H258" s="151"/>
      <c r="I258" s="162"/>
      <c r="J258" s="99"/>
      <c r="K258" s="64" t="s">
        <v>707</v>
      </c>
      <c r="O258" s="71"/>
    </row>
    <row r="259" spans="1:16">
      <c r="A259" s="106"/>
      <c r="B259" s="110"/>
      <c r="C259" s="114"/>
      <c r="D259" s="93" t="s">
        <v>708</v>
      </c>
      <c r="E259" s="157" t="s">
        <v>709</v>
      </c>
      <c r="F259" s="152">
        <v>0.23</v>
      </c>
      <c r="G259" s="61" t="s">
        <v>710</v>
      </c>
      <c r="H259" s="59" t="s">
        <v>711</v>
      </c>
      <c r="I259" s="65">
        <v>4.5999999999999999E-2</v>
      </c>
      <c r="J259" s="61" t="s">
        <v>37</v>
      </c>
      <c r="K259" s="63" t="s">
        <v>712</v>
      </c>
      <c r="L259" s="19">
        <v>3</v>
      </c>
      <c r="M259" s="19" t="b">
        <v>1</v>
      </c>
      <c r="N259" s="19" t="b">
        <v>0</v>
      </c>
      <c r="O259" s="58" t="s">
        <v>39</v>
      </c>
    </row>
    <row r="260" spans="1:16">
      <c r="A260" s="106"/>
      <c r="B260" s="110"/>
      <c r="C260" s="114"/>
      <c r="D260" s="93"/>
      <c r="E260" s="157"/>
      <c r="F260" s="152"/>
      <c r="G260" s="61" t="s">
        <v>713</v>
      </c>
      <c r="H260" s="59" t="s">
        <v>714</v>
      </c>
      <c r="I260" s="65">
        <v>4.5999999999999999E-2</v>
      </c>
      <c r="J260" s="61" t="s">
        <v>37</v>
      </c>
      <c r="K260" s="63" t="s">
        <v>715</v>
      </c>
      <c r="L260" s="19">
        <v>3</v>
      </c>
      <c r="M260" s="19" t="b">
        <v>1</v>
      </c>
      <c r="N260" s="19" t="b">
        <v>0</v>
      </c>
      <c r="O260" s="58" t="s">
        <v>39</v>
      </c>
    </row>
    <row r="261" spans="1:16">
      <c r="A261" s="106"/>
      <c r="B261" s="110"/>
      <c r="C261" s="114"/>
      <c r="D261" s="93"/>
      <c r="E261" s="157"/>
      <c r="F261" s="152"/>
      <c r="G261" s="61" t="s">
        <v>716</v>
      </c>
      <c r="H261" s="59" t="s">
        <v>717</v>
      </c>
      <c r="I261" s="65">
        <v>4.5999999999999999E-2</v>
      </c>
      <c r="J261" s="61" t="s">
        <v>37</v>
      </c>
      <c r="K261" s="63" t="s">
        <v>718</v>
      </c>
      <c r="L261" s="19">
        <v>3</v>
      </c>
      <c r="M261" s="19" t="b">
        <v>1</v>
      </c>
      <c r="N261" s="19" t="b">
        <v>0</v>
      </c>
      <c r="O261" s="58" t="s">
        <v>719</v>
      </c>
    </row>
    <row r="262" spans="1:16">
      <c r="A262" s="106"/>
      <c r="B262" s="110"/>
      <c r="C262" s="114"/>
      <c r="D262" s="93"/>
      <c r="E262" s="157"/>
      <c r="F262" s="152"/>
      <c r="G262" s="61" t="s">
        <v>720</v>
      </c>
      <c r="H262" s="59" t="s">
        <v>721</v>
      </c>
      <c r="I262" s="65">
        <v>4.5999999999999999E-2</v>
      </c>
      <c r="J262" s="61" t="s">
        <v>37</v>
      </c>
      <c r="K262" s="63" t="s">
        <v>722</v>
      </c>
      <c r="L262" s="19">
        <v>3</v>
      </c>
      <c r="M262" s="19" t="b">
        <v>1</v>
      </c>
      <c r="N262" s="19" t="b">
        <v>0</v>
      </c>
      <c r="O262" s="58" t="s">
        <v>39</v>
      </c>
    </row>
    <row r="263" spans="1:16">
      <c r="A263" s="106"/>
      <c r="B263" s="110"/>
      <c r="C263" s="114"/>
      <c r="D263" s="93"/>
      <c r="E263" s="157"/>
      <c r="F263" s="152"/>
      <c r="G263" s="61" t="s">
        <v>723</v>
      </c>
      <c r="H263" s="59" t="s">
        <v>724</v>
      </c>
      <c r="I263" s="65">
        <v>4.5999999999999999E-2</v>
      </c>
      <c r="J263" s="61" t="s">
        <v>37</v>
      </c>
      <c r="K263" s="63" t="s">
        <v>725</v>
      </c>
      <c r="L263" s="19">
        <v>3</v>
      </c>
      <c r="M263" s="19" t="b">
        <v>1</v>
      </c>
      <c r="N263" s="19" t="b">
        <v>0</v>
      </c>
      <c r="O263" s="58" t="s">
        <v>39</v>
      </c>
    </row>
    <row r="264" spans="1:16" ht="31.5">
      <c r="A264" s="106"/>
      <c r="B264" s="110"/>
      <c r="C264" s="114"/>
      <c r="D264" s="93" t="s">
        <v>726</v>
      </c>
      <c r="E264" s="157" t="s">
        <v>727</v>
      </c>
      <c r="F264" s="152">
        <v>0.23</v>
      </c>
      <c r="G264" s="61" t="s">
        <v>728</v>
      </c>
      <c r="H264" s="59" t="s">
        <v>727</v>
      </c>
      <c r="I264" s="65">
        <v>0.115</v>
      </c>
      <c r="J264" s="61" t="s">
        <v>37</v>
      </c>
      <c r="K264" s="63" t="s">
        <v>729</v>
      </c>
      <c r="L264" s="19">
        <v>5</v>
      </c>
      <c r="M264" s="19" t="b">
        <v>1</v>
      </c>
      <c r="N264" s="19" t="b">
        <v>0</v>
      </c>
      <c r="O264" s="60" t="s">
        <v>730</v>
      </c>
      <c r="P264" s="20"/>
    </row>
    <row r="265" spans="1:16" ht="16.149999999999999" thickBot="1">
      <c r="A265" s="107"/>
      <c r="B265" s="111"/>
      <c r="C265" s="115"/>
      <c r="D265" s="117"/>
      <c r="E265" s="158"/>
      <c r="F265" s="159"/>
      <c r="G265" s="68" t="s">
        <v>731</v>
      </c>
      <c r="H265" s="66" t="s">
        <v>732</v>
      </c>
      <c r="I265" s="67">
        <v>0.115</v>
      </c>
      <c r="J265" s="68" t="s">
        <v>37</v>
      </c>
      <c r="K265" s="69" t="s">
        <v>733</v>
      </c>
      <c r="L265" s="26">
        <v>4</v>
      </c>
      <c r="M265" s="26" t="b">
        <v>0</v>
      </c>
      <c r="N265" s="26" t="b">
        <v>0</v>
      </c>
      <c r="O265" s="70" t="s">
        <v>734</v>
      </c>
    </row>
    <row r="266" spans="1:16">
      <c r="A266" s="105" t="s">
        <v>735</v>
      </c>
      <c r="B266" s="109" t="s">
        <v>736</v>
      </c>
      <c r="C266" s="113">
        <v>0.26</v>
      </c>
      <c r="D266" s="126" t="s">
        <v>737</v>
      </c>
      <c r="E266" s="128" t="s">
        <v>738</v>
      </c>
      <c r="F266" s="91">
        <v>0.27</v>
      </c>
      <c r="G266" s="155" t="s">
        <v>739</v>
      </c>
      <c r="H266" s="136" t="s">
        <v>740</v>
      </c>
      <c r="I266" s="41">
        <v>0.1</v>
      </c>
      <c r="J266" s="49" t="s">
        <v>21</v>
      </c>
      <c r="K266" s="12" t="s">
        <v>741</v>
      </c>
      <c r="L266" s="13"/>
      <c r="M266" s="13"/>
      <c r="N266" s="13"/>
      <c r="O266" s="73"/>
    </row>
    <row r="267" spans="1:16">
      <c r="A267" s="106"/>
      <c r="B267" s="110"/>
      <c r="C267" s="114"/>
      <c r="D267" s="127"/>
      <c r="E267" s="129"/>
      <c r="F267" s="92"/>
      <c r="G267" s="156"/>
      <c r="H267" s="137"/>
      <c r="I267" s="42">
        <v>0.1</v>
      </c>
      <c r="J267" s="50" t="s">
        <v>21</v>
      </c>
      <c r="K267" s="15" t="s">
        <v>742</v>
      </c>
      <c r="O267" s="71"/>
    </row>
    <row r="268" spans="1:16">
      <c r="A268" s="106"/>
      <c r="B268" s="110"/>
      <c r="C268" s="114"/>
      <c r="D268" s="127"/>
      <c r="E268" s="129"/>
      <c r="F268" s="92"/>
      <c r="G268" s="139"/>
      <c r="H268" s="137"/>
      <c r="I268" s="42">
        <v>0.1</v>
      </c>
      <c r="J268" s="50" t="s">
        <v>21</v>
      </c>
      <c r="K268" s="15" t="s">
        <v>743</v>
      </c>
      <c r="O268" s="71"/>
    </row>
    <row r="269" spans="1:16">
      <c r="A269" s="106"/>
      <c r="B269" s="110"/>
      <c r="C269" s="114"/>
      <c r="D269" s="127"/>
      <c r="E269" s="129"/>
      <c r="F269" s="92"/>
      <c r="G269" s="50" t="s">
        <v>744</v>
      </c>
      <c r="H269" s="80" t="s">
        <v>745</v>
      </c>
      <c r="I269" s="42">
        <v>0.1</v>
      </c>
      <c r="J269" s="50" t="s">
        <v>21</v>
      </c>
      <c r="K269" s="15" t="s">
        <v>745</v>
      </c>
      <c r="O269" s="71"/>
    </row>
    <row r="270" spans="1:16">
      <c r="A270" s="106"/>
      <c r="B270" s="110"/>
      <c r="C270" s="114"/>
      <c r="D270" s="127"/>
      <c r="E270" s="129"/>
      <c r="F270" s="92"/>
      <c r="G270" s="50" t="s">
        <v>746</v>
      </c>
      <c r="H270" s="80" t="s">
        <v>742</v>
      </c>
      <c r="I270" s="42">
        <v>7.0000000000000007E-2</v>
      </c>
      <c r="J270" s="50" t="s">
        <v>21</v>
      </c>
      <c r="K270" s="15" t="s">
        <v>742</v>
      </c>
      <c r="O270" s="71"/>
    </row>
    <row r="271" spans="1:16">
      <c r="A271" s="106"/>
      <c r="B271" s="110"/>
      <c r="C271" s="114"/>
      <c r="D271" s="93" t="s">
        <v>747</v>
      </c>
      <c r="E271" s="94" t="s">
        <v>748</v>
      </c>
      <c r="F271" s="95">
        <v>0.153</v>
      </c>
      <c r="G271" s="18" t="s">
        <v>749</v>
      </c>
      <c r="H271" s="59" t="s">
        <v>750</v>
      </c>
      <c r="I271" s="36">
        <v>5.0999999999999997E-2</v>
      </c>
      <c r="J271" s="18" t="s">
        <v>37</v>
      </c>
      <c r="K271" s="19" t="s">
        <v>751</v>
      </c>
      <c r="L271" s="19">
        <v>3</v>
      </c>
      <c r="M271" s="19" t="b">
        <v>1</v>
      </c>
      <c r="N271" s="19" t="b">
        <v>0</v>
      </c>
      <c r="O271" s="58" t="s">
        <v>117</v>
      </c>
    </row>
    <row r="272" spans="1:16">
      <c r="A272" s="106"/>
      <c r="B272" s="110"/>
      <c r="C272" s="114"/>
      <c r="D272" s="93"/>
      <c r="E272" s="94"/>
      <c r="F272" s="95"/>
      <c r="G272" s="18" t="s">
        <v>752</v>
      </c>
      <c r="H272" s="59" t="s">
        <v>753</v>
      </c>
      <c r="I272" s="36">
        <v>5.0999999999999997E-2</v>
      </c>
      <c r="J272" s="18" t="s">
        <v>37</v>
      </c>
      <c r="K272" s="19" t="s">
        <v>754</v>
      </c>
      <c r="L272" s="19">
        <v>3</v>
      </c>
      <c r="M272" s="19" t="b">
        <v>1</v>
      </c>
      <c r="N272" s="19" t="b">
        <v>0</v>
      </c>
      <c r="O272" s="58" t="s">
        <v>117</v>
      </c>
    </row>
    <row r="273" spans="1:15">
      <c r="A273" s="106"/>
      <c r="B273" s="110"/>
      <c r="C273" s="114"/>
      <c r="D273" s="93"/>
      <c r="E273" s="94"/>
      <c r="F273" s="95"/>
      <c r="G273" s="18" t="s">
        <v>755</v>
      </c>
      <c r="H273" s="59" t="s">
        <v>756</v>
      </c>
      <c r="I273" s="36">
        <v>5.0999999999999997E-2</v>
      </c>
      <c r="J273" s="18" t="s">
        <v>37</v>
      </c>
      <c r="K273" s="19" t="s">
        <v>757</v>
      </c>
      <c r="L273" s="19">
        <v>3</v>
      </c>
      <c r="M273" s="19" t="b">
        <v>1</v>
      </c>
      <c r="N273" s="19" t="b">
        <v>0</v>
      </c>
      <c r="O273" s="58" t="s">
        <v>117</v>
      </c>
    </row>
    <row r="274" spans="1:15">
      <c r="A274" s="106"/>
      <c r="B274" s="110"/>
      <c r="C274" s="114"/>
      <c r="D274" s="93" t="s">
        <v>758</v>
      </c>
      <c r="E274" s="94" t="s">
        <v>759</v>
      </c>
      <c r="F274" s="95">
        <v>0.19400000000000001</v>
      </c>
      <c r="G274" s="18" t="s">
        <v>760</v>
      </c>
      <c r="H274" s="59" t="s">
        <v>761</v>
      </c>
      <c r="I274" s="36">
        <v>4.8500000000000001E-2</v>
      </c>
      <c r="J274" s="18" t="s">
        <v>37</v>
      </c>
      <c r="K274" s="19" t="s">
        <v>762</v>
      </c>
      <c r="L274" s="19">
        <v>3</v>
      </c>
      <c r="M274" s="19" t="b">
        <v>1</v>
      </c>
      <c r="N274" s="19" t="b">
        <v>0</v>
      </c>
      <c r="O274" s="58" t="s">
        <v>39</v>
      </c>
    </row>
    <row r="275" spans="1:15">
      <c r="A275" s="106"/>
      <c r="B275" s="110"/>
      <c r="C275" s="114"/>
      <c r="D275" s="93"/>
      <c r="E275" s="94"/>
      <c r="F275" s="95"/>
      <c r="G275" s="18" t="s">
        <v>763</v>
      </c>
      <c r="H275" s="59" t="s">
        <v>764</v>
      </c>
      <c r="I275" s="36">
        <v>4.8500000000000001E-2</v>
      </c>
      <c r="J275" s="18" t="s">
        <v>37</v>
      </c>
      <c r="K275" s="19" t="s">
        <v>765</v>
      </c>
      <c r="L275" s="19">
        <v>4</v>
      </c>
      <c r="M275" s="19" t="b">
        <v>1</v>
      </c>
      <c r="N275" s="19" t="b">
        <v>1</v>
      </c>
      <c r="O275" s="58" t="s">
        <v>39</v>
      </c>
    </row>
    <row r="276" spans="1:15">
      <c r="A276" s="106"/>
      <c r="B276" s="110"/>
      <c r="C276" s="114"/>
      <c r="D276" s="93"/>
      <c r="E276" s="94"/>
      <c r="F276" s="95"/>
      <c r="G276" s="18" t="s">
        <v>766</v>
      </c>
      <c r="H276" s="59" t="s">
        <v>767</v>
      </c>
      <c r="I276" s="36">
        <v>4.8500000000000001E-2</v>
      </c>
      <c r="J276" s="18" t="s">
        <v>37</v>
      </c>
      <c r="K276" s="19" t="s">
        <v>768</v>
      </c>
      <c r="L276" s="19">
        <v>3</v>
      </c>
      <c r="M276" s="19" t="b">
        <v>1</v>
      </c>
      <c r="N276" s="19" t="b">
        <v>0</v>
      </c>
      <c r="O276" s="58" t="s">
        <v>39</v>
      </c>
    </row>
    <row r="277" spans="1:15">
      <c r="A277" s="106"/>
      <c r="B277" s="110"/>
      <c r="C277" s="114"/>
      <c r="D277" s="93"/>
      <c r="E277" s="94"/>
      <c r="F277" s="95"/>
      <c r="G277" s="18" t="s">
        <v>769</v>
      </c>
      <c r="H277" s="59" t="s">
        <v>770</v>
      </c>
      <c r="I277" s="36">
        <v>4.8500000000000001E-2</v>
      </c>
      <c r="J277" s="18" t="s">
        <v>37</v>
      </c>
      <c r="K277" s="19" t="s">
        <v>771</v>
      </c>
      <c r="L277" s="19">
        <v>3</v>
      </c>
      <c r="M277" s="19" t="b">
        <v>1</v>
      </c>
      <c r="N277" s="19" t="b">
        <v>0</v>
      </c>
      <c r="O277" s="58" t="s">
        <v>39</v>
      </c>
    </row>
    <row r="278" spans="1:15">
      <c r="A278" s="106"/>
      <c r="B278" s="110"/>
      <c r="C278" s="114"/>
      <c r="D278" s="93" t="s">
        <v>772</v>
      </c>
      <c r="E278" s="94" t="s">
        <v>773</v>
      </c>
      <c r="F278" s="95">
        <v>0.193</v>
      </c>
      <c r="G278" s="18" t="s">
        <v>774</v>
      </c>
      <c r="H278" s="59" t="s">
        <v>775</v>
      </c>
      <c r="I278" s="36">
        <v>6.4500000000000002E-2</v>
      </c>
      <c r="J278" s="18" t="s">
        <v>37</v>
      </c>
      <c r="K278" s="19" t="s">
        <v>776</v>
      </c>
      <c r="L278" s="19">
        <v>3</v>
      </c>
      <c r="M278" s="19" t="b">
        <v>1</v>
      </c>
      <c r="N278" s="19" t="b">
        <v>0</v>
      </c>
      <c r="O278" s="58" t="s">
        <v>39</v>
      </c>
    </row>
    <row r="279" spans="1:15">
      <c r="A279" s="106"/>
      <c r="B279" s="110"/>
      <c r="C279" s="114"/>
      <c r="D279" s="93"/>
      <c r="E279" s="94"/>
      <c r="F279" s="95"/>
      <c r="G279" s="18" t="s">
        <v>777</v>
      </c>
      <c r="H279" s="59" t="s">
        <v>778</v>
      </c>
      <c r="I279" s="36">
        <v>6.4500000000000002E-2</v>
      </c>
      <c r="J279" s="18" t="s">
        <v>37</v>
      </c>
      <c r="K279" s="19" t="s">
        <v>779</v>
      </c>
      <c r="L279" s="19">
        <v>3</v>
      </c>
      <c r="M279" s="19" t="b">
        <v>1</v>
      </c>
      <c r="N279" s="19" t="b">
        <v>0</v>
      </c>
      <c r="O279" s="58" t="s">
        <v>39</v>
      </c>
    </row>
    <row r="280" spans="1:15">
      <c r="A280" s="106"/>
      <c r="B280" s="110"/>
      <c r="C280" s="114"/>
      <c r="D280" s="93"/>
      <c r="E280" s="94"/>
      <c r="F280" s="95"/>
      <c r="G280" s="18" t="s">
        <v>780</v>
      </c>
      <c r="H280" s="59" t="s">
        <v>781</v>
      </c>
      <c r="I280" s="36">
        <v>6.4000000000000001E-2</v>
      </c>
      <c r="J280" s="18" t="s">
        <v>37</v>
      </c>
      <c r="K280" s="19" t="s">
        <v>782</v>
      </c>
      <c r="L280" s="19">
        <v>4</v>
      </c>
      <c r="M280" s="19" t="b">
        <v>1</v>
      </c>
      <c r="N280" s="19" t="b">
        <v>1</v>
      </c>
      <c r="O280" s="58" t="s">
        <v>39</v>
      </c>
    </row>
    <row r="281" spans="1:15">
      <c r="A281" s="106"/>
      <c r="B281" s="110"/>
      <c r="C281" s="114"/>
      <c r="D281" s="93" t="s">
        <v>783</v>
      </c>
      <c r="E281" s="94" t="s">
        <v>784</v>
      </c>
      <c r="F281" s="95">
        <v>0.19</v>
      </c>
      <c r="G281" s="18" t="s">
        <v>785</v>
      </c>
      <c r="H281" s="59" t="s">
        <v>786</v>
      </c>
      <c r="I281" s="36">
        <v>3.7999999999999999E-2</v>
      </c>
      <c r="J281" s="18" t="s">
        <v>37</v>
      </c>
      <c r="K281" s="19" t="s">
        <v>787</v>
      </c>
      <c r="L281" s="19">
        <v>3</v>
      </c>
      <c r="M281" s="19" t="b">
        <v>1</v>
      </c>
      <c r="N281" s="19" t="b">
        <v>0</v>
      </c>
      <c r="O281" s="58" t="s">
        <v>39</v>
      </c>
    </row>
    <row r="282" spans="1:15">
      <c r="A282" s="106"/>
      <c r="B282" s="110"/>
      <c r="C282" s="114"/>
      <c r="D282" s="93"/>
      <c r="E282" s="94"/>
      <c r="F282" s="95"/>
      <c r="G282" s="18" t="s">
        <v>788</v>
      </c>
      <c r="H282" s="59" t="s">
        <v>789</v>
      </c>
      <c r="I282" s="36">
        <v>3.7999999999999999E-2</v>
      </c>
      <c r="J282" s="18" t="s">
        <v>37</v>
      </c>
      <c r="K282" s="19" t="s">
        <v>790</v>
      </c>
      <c r="L282" s="19">
        <v>3</v>
      </c>
      <c r="M282" s="19" t="b">
        <v>1</v>
      </c>
      <c r="N282" s="19" t="b">
        <v>0</v>
      </c>
      <c r="O282" s="58" t="s">
        <v>39</v>
      </c>
    </row>
    <row r="283" spans="1:15">
      <c r="A283" s="106"/>
      <c r="B283" s="110"/>
      <c r="C283" s="114"/>
      <c r="D283" s="93"/>
      <c r="E283" s="94"/>
      <c r="F283" s="95"/>
      <c r="G283" s="18" t="s">
        <v>791</v>
      </c>
      <c r="H283" s="59" t="s">
        <v>792</v>
      </c>
      <c r="I283" s="36">
        <v>3.7999999999999999E-2</v>
      </c>
      <c r="J283" s="18" t="s">
        <v>37</v>
      </c>
      <c r="K283" s="19" t="s">
        <v>793</v>
      </c>
      <c r="L283" s="19">
        <v>3</v>
      </c>
      <c r="M283" s="19" t="b">
        <v>1</v>
      </c>
      <c r="N283" s="19" t="b">
        <v>0</v>
      </c>
      <c r="O283" s="58" t="s">
        <v>794</v>
      </c>
    </row>
    <row r="284" spans="1:15">
      <c r="A284" s="106"/>
      <c r="B284" s="110"/>
      <c r="C284" s="114"/>
      <c r="D284" s="93"/>
      <c r="E284" s="94"/>
      <c r="F284" s="95"/>
      <c r="G284" s="18" t="s">
        <v>795</v>
      </c>
      <c r="H284" s="59" t="s">
        <v>796</v>
      </c>
      <c r="I284" s="36">
        <v>3.7999999999999999E-2</v>
      </c>
      <c r="J284" s="18" t="s">
        <v>37</v>
      </c>
      <c r="K284" s="19" t="s">
        <v>797</v>
      </c>
      <c r="L284" s="19">
        <v>3</v>
      </c>
      <c r="M284" s="19" t="b">
        <v>1</v>
      </c>
      <c r="N284" s="19" t="b">
        <v>0</v>
      </c>
      <c r="O284" s="58" t="s">
        <v>39</v>
      </c>
    </row>
    <row r="285" spans="1:15" ht="16.149999999999999" thickBot="1">
      <c r="A285" s="108"/>
      <c r="B285" s="112"/>
      <c r="C285" s="116"/>
      <c r="D285" s="146"/>
      <c r="E285" s="147"/>
      <c r="F285" s="148"/>
      <c r="G285" s="21" t="s">
        <v>798</v>
      </c>
      <c r="H285" s="79" t="s">
        <v>799</v>
      </c>
      <c r="I285" s="53">
        <v>3.7999999999999999E-2</v>
      </c>
      <c r="J285" s="21" t="s">
        <v>37</v>
      </c>
      <c r="K285" s="22" t="s">
        <v>800</v>
      </c>
      <c r="L285" s="22">
        <v>3</v>
      </c>
      <c r="M285" s="22" t="b">
        <v>1</v>
      </c>
      <c r="N285" s="22" t="b">
        <v>0</v>
      </c>
      <c r="O285" s="72" t="s">
        <v>39</v>
      </c>
    </row>
    <row r="286" spans="1:15">
      <c r="A286" s="143" t="s">
        <v>801</v>
      </c>
      <c r="B286" s="144" t="s">
        <v>802</v>
      </c>
      <c r="C286" s="145">
        <v>0.26</v>
      </c>
      <c r="D286" s="140" t="s">
        <v>803</v>
      </c>
      <c r="E286" s="141" t="s">
        <v>804</v>
      </c>
      <c r="F286" s="138">
        <v>0.27</v>
      </c>
      <c r="G286" s="139" t="s">
        <v>805</v>
      </c>
      <c r="H286" s="142" t="s">
        <v>806</v>
      </c>
      <c r="I286" s="138">
        <v>0.1</v>
      </c>
      <c r="J286" s="139" t="s">
        <v>21</v>
      </c>
      <c r="K286" s="28" t="s">
        <v>807</v>
      </c>
      <c r="O286" s="71"/>
    </row>
    <row r="287" spans="1:15">
      <c r="A287" s="106"/>
      <c r="B287" s="110"/>
      <c r="C287" s="114"/>
      <c r="D287" s="127"/>
      <c r="E287" s="129"/>
      <c r="F287" s="92"/>
      <c r="G287" s="135"/>
      <c r="H287" s="137"/>
      <c r="I287" s="92"/>
      <c r="J287" s="135"/>
      <c r="K287" s="15" t="s">
        <v>808</v>
      </c>
      <c r="O287" s="71"/>
    </row>
    <row r="288" spans="1:15">
      <c r="A288" s="106"/>
      <c r="B288" s="110"/>
      <c r="C288" s="114"/>
      <c r="D288" s="127"/>
      <c r="E288" s="129"/>
      <c r="F288" s="92"/>
      <c r="G288" s="135"/>
      <c r="H288" s="137"/>
      <c r="I288" s="92"/>
      <c r="J288" s="135"/>
      <c r="K288" s="15" t="s">
        <v>809</v>
      </c>
      <c r="O288" s="71"/>
    </row>
    <row r="289" spans="1:15">
      <c r="A289" s="106"/>
      <c r="B289" s="110"/>
      <c r="C289" s="114"/>
      <c r="D289" s="127"/>
      <c r="E289" s="129"/>
      <c r="F289" s="92"/>
      <c r="G289" s="50" t="s">
        <v>810</v>
      </c>
      <c r="H289" s="80" t="s">
        <v>811</v>
      </c>
      <c r="I289" s="42">
        <v>0.1</v>
      </c>
      <c r="J289" s="50" t="s">
        <v>21</v>
      </c>
      <c r="K289" s="15" t="s">
        <v>811</v>
      </c>
      <c r="O289" s="71"/>
    </row>
    <row r="290" spans="1:15">
      <c r="A290" s="106"/>
      <c r="B290" s="110"/>
      <c r="C290" s="114"/>
      <c r="D290" s="127"/>
      <c r="E290" s="129"/>
      <c r="F290" s="92"/>
      <c r="G290" s="50" t="s">
        <v>812</v>
      </c>
      <c r="H290" s="80" t="s">
        <v>808</v>
      </c>
      <c r="I290" s="42">
        <v>7.0000000000000007E-2</v>
      </c>
      <c r="J290" s="50" t="s">
        <v>21</v>
      </c>
      <c r="K290" s="15" t="s">
        <v>808</v>
      </c>
      <c r="O290" s="71"/>
    </row>
    <row r="291" spans="1:15">
      <c r="A291" s="106"/>
      <c r="B291" s="110"/>
      <c r="C291" s="114"/>
      <c r="D291" s="93" t="s">
        <v>813</v>
      </c>
      <c r="E291" s="94" t="s">
        <v>814</v>
      </c>
      <c r="F291" s="95">
        <v>0.23</v>
      </c>
      <c r="G291" s="18" t="s">
        <v>815</v>
      </c>
      <c r="H291" s="59" t="s">
        <v>816</v>
      </c>
      <c r="I291" s="36">
        <v>4.5999999999999999E-2</v>
      </c>
      <c r="J291" s="18" t="s">
        <v>37</v>
      </c>
      <c r="K291" s="19" t="s">
        <v>817</v>
      </c>
      <c r="L291" s="19">
        <v>3</v>
      </c>
      <c r="M291" s="19" t="b">
        <v>1</v>
      </c>
      <c r="N291" s="19" t="b">
        <v>0</v>
      </c>
      <c r="O291" s="58" t="s">
        <v>39</v>
      </c>
    </row>
    <row r="292" spans="1:15">
      <c r="A292" s="106"/>
      <c r="B292" s="110"/>
      <c r="C292" s="114"/>
      <c r="D292" s="93"/>
      <c r="E292" s="94"/>
      <c r="F292" s="95"/>
      <c r="G292" s="18" t="s">
        <v>818</v>
      </c>
      <c r="H292" s="59" t="s">
        <v>819</v>
      </c>
      <c r="I292" s="36">
        <v>4.5999999999999999E-2</v>
      </c>
      <c r="J292" s="18" t="s">
        <v>37</v>
      </c>
      <c r="K292" s="19" t="s">
        <v>820</v>
      </c>
      <c r="L292" s="19">
        <v>4</v>
      </c>
      <c r="M292" s="19" t="b">
        <v>1</v>
      </c>
      <c r="N292" s="19" t="b">
        <v>1</v>
      </c>
      <c r="O292" s="58" t="s">
        <v>39</v>
      </c>
    </row>
    <row r="293" spans="1:15">
      <c r="A293" s="106"/>
      <c r="B293" s="110"/>
      <c r="C293" s="114"/>
      <c r="D293" s="93"/>
      <c r="E293" s="94"/>
      <c r="F293" s="95"/>
      <c r="G293" s="18" t="s">
        <v>821</v>
      </c>
      <c r="H293" s="59" t="s">
        <v>822</v>
      </c>
      <c r="I293" s="36">
        <v>4.5999999999999999E-2</v>
      </c>
      <c r="J293" s="18" t="s">
        <v>37</v>
      </c>
      <c r="K293" s="19" t="s">
        <v>823</v>
      </c>
      <c r="L293" s="19">
        <v>3</v>
      </c>
      <c r="M293" s="19" t="b">
        <v>1</v>
      </c>
      <c r="N293" s="19" t="b">
        <v>0</v>
      </c>
      <c r="O293" s="58" t="s">
        <v>39</v>
      </c>
    </row>
    <row r="294" spans="1:15">
      <c r="A294" s="106"/>
      <c r="B294" s="110"/>
      <c r="C294" s="114"/>
      <c r="D294" s="93"/>
      <c r="E294" s="94"/>
      <c r="F294" s="95"/>
      <c r="G294" s="18" t="s">
        <v>824</v>
      </c>
      <c r="H294" s="59" t="s">
        <v>825</v>
      </c>
      <c r="I294" s="36">
        <v>4.5999999999999999E-2</v>
      </c>
      <c r="J294" s="18" t="s">
        <v>37</v>
      </c>
      <c r="K294" s="19" t="s">
        <v>826</v>
      </c>
      <c r="L294" s="19">
        <v>3</v>
      </c>
      <c r="M294" s="19" t="b">
        <v>1</v>
      </c>
      <c r="N294" s="19" t="b">
        <v>0</v>
      </c>
      <c r="O294" s="58" t="s">
        <v>117</v>
      </c>
    </row>
    <row r="295" spans="1:15">
      <c r="A295" s="106"/>
      <c r="B295" s="110"/>
      <c r="C295" s="114"/>
      <c r="D295" s="93"/>
      <c r="E295" s="94"/>
      <c r="F295" s="95"/>
      <c r="G295" s="18" t="s">
        <v>827</v>
      </c>
      <c r="H295" s="59" t="s">
        <v>1042</v>
      </c>
      <c r="I295" s="36">
        <v>2.3E-2</v>
      </c>
      <c r="J295" s="18" t="s">
        <v>37</v>
      </c>
      <c r="K295" s="19" t="s">
        <v>1044</v>
      </c>
      <c r="L295" s="19">
        <v>3</v>
      </c>
      <c r="M295" s="19" t="b">
        <v>1</v>
      </c>
      <c r="N295" s="19" t="b">
        <v>0</v>
      </c>
      <c r="O295" s="58" t="s">
        <v>117</v>
      </c>
    </row>
    <row r="296" spans="1:15">
      <c r="A296" s="106"/>
      <c r="B296" s="110"/>
      <c r="C296" s="114"/>
      <c r="D296" s="93"/>
      <c r="E296" s="94"/>
      <c r="F296" s="95"/>
      <c r="G296" s="18" t="s">
        <v>827</v>
      </c>
      <c r="H296" s="59" t="s">
        <v>1043</v>
      </c>
      <c r="I296" s="36">
        <v>2.3E-2</v>
      </c>
      <c r="J296" s="18" t="s">
        <v>37</v>
      </c>
      <c r="K296" s="19" t="s">
        <v>1045</v>
      </c>
      <c r="L296" s="19">
        <v>3</v>
      </c>
      <c r="M296" s="19" t="b">
        <v>1</v>
      </c>
      <c r="N296" s="19" t="b">
        <v>0</v>
      </c>
      <c r="O296" s="58" t="s">
        <v>117</v>
      </c>
    </row>
    <row r="297" spans="1:15">
      <c r="A297" s="106"/>
      <c r="B297" s="110"/>
      <c r="C297" s="114"/>
      <c r="D297" s="93" t="s">
        <v>828</v>
      </c>
      <c r="E297" s="94" t="s">
        <v>829</v>
      </c>
      <c r="F297" s="95">
        <v>0.27</v>
      </c>
      <c r="G297" s="18" t="s">
        <v>830</v>
      </c>
      <c r="H297" s="59" t="s">
        <v>831</v>
      </c>
      <c r="I297" s="36">
        <v>5.3999999999999999E-2</v>
      </c>
      <c r="J297" s="18" t="s">
        <v>37</v>
      </c>
      <c r="K297" s="19" t="s">
        <v>832</v>
      </c>
      <c r="L297" s="19">
        <v>4</v>
      </c>
      <c r="M297" s="19" t="b">
        <v>1</v>
      </c>
      <c r="N297" s="19" t="b">
        <v>1</v>
      </c>
      <c r="O297" s="58" t="s">
        <v>39</v>
      </c>
    </row>
    <row r="298" spans="1:15">
      <c r="A298" s="106"/>
      <c r="B298" s="110"/>
      <c r="C298" s="114"/>
      <c r="D298" s="93"/>
      <c r="E298" s="94"/>
      <c r="F298" s="95"/>
      <c r="G298" s="18" t="s">
        <v>833</v>
      </c>
      <c r="H298" s="59" t="s">
        <v>834</v>
      </c>
      <c r="I298" s="36">
        <v>5.3999999999999999E-2</v>
      </c>
      <c r="J298" s="18" t="s">
        <v>37</v>
      </c>
      <c r="K298" s="19" t="s">
        <v>835</v>
      </c>
      <c r="L298" s="19">
        <v>4</v>
      </c>
      <c r="M298" s="19" t="b">
        <v>1</v>
      </c>
      <c r="N298" s="19" t="b">
        <v>1</v>
      </c>
      <c r="O298" s="58" t="s">
        <v>39</v>
      </c>
    </row>
    <row r="299" spans="1:15">
      <c r="A299" s="106"/>
      <c r="B299" s="110"/>
      <c r="C299" s="114"/>
      <c r="D299" s="93"/>
      <c r="E299" s="94"/>
      <c r="F299" s="95"/>
      <c r="G299" s="18" t="s">
        <v>836</v>
      </c>
      <c r="H299" s="59" t="s">
        <v>837</v>
      </c>
      <c r="I299" s="36">
        <v>5.3999999999999999E-2</v>
      </c>
      <c r="J299" s="18" t="s">
        <v>37</v>
      </c>
      <c r="K299" s="19" t="s">
        <v>838</v>
      </c>
      <c r="L299" s="19">
        <v>3</v>
      </c>
      <c r="M299" s="19" t="b">
        <v>1</v>
      </c>
      <c r="N299" s="19" t="b">
        <v>0</v>
      </c>
      <c r="O299" s="58" t="s">
        <v>39</v>
      </c>
    </row>
    <row r="300" spans="1:15">
      <c r="A300" s="106"/>
      <c r="B300" s="110"/>
      <c r="C300" s="114"/>
      <c r="D300" s="93"/>
      <c r="E300" s="94"/>
      <c r="F300" s="95"/>
      <c r="G300" s="18" t="s">
        <v>839</v>
      </c>
      <c r="H300" s="59" t="s">
        <v>840</v>
      </c>
      <c r="I300" s="36">
        <v>5.3999999999999999E-2</v>
      </c>
      <c r="J300" s="18" t="s">
        <v>37</v>
      </c>
      <c r="K300" s="19" t="s">
        <v>841</v>
      </c>
      <c r="L300" s="19">
        <v>4</v>
      </c>
      <c r="M300" s="19" t="b">
        <v>1</v>
      </c>
      <c r="N300" s="19" t="b">
        <v>1</v>
      </c>
      <c r="O300" s="58" t="s">
        <v>39</v>
      </c>
    </row>
    <row r="301" spans="1:15">
      <c r="A301" s="106"/>
      <c r="B301" s="110"/>
      <c r="C301" s="114"/>
      <c r="D301" s="93"/>
      <c r="E301" s="94"/>
      <c r="F301" s="95"/>
      <c r="G301" s="18" t="s">
        <v>842</v>
      </c>
      <c r="H301" s="59" t="s">
        <v>843</v>
      </c>
      <c r="I301" s="36">
        <v>5.3999999999999999E-2</v>
      </c>
      <c r="J301" s="18" t="s">
        <v>37</v>
      </c>
      <c r="K301" s="19" t="s">
        <v>844</v>
      </c>
      <c r="L301" s="19">
        <v>3</v>
      </c>
      <c r="M301" s="19" t="b">
        <v>1</v>
      </c>
      <c r="N301" s="19" t="b">
        <v>0</v>
      </c>
      <c r="O301" s="58" t="s">
        <v>39</v>
      </c>
    </row>
    <row r="302" spans="1:15">
      <c r="A302" s="106"/>
      <c r="B302" s="110"/>
      <c r="C302" s="114"/>
      <c r="D302" s="93" t="s">
        <v>845</v>
      </c>
      <c r="E302" s="94" t="s">
        <v>846</v>
      </c>
      <c r="F302" s="95">
        <v>0.23</v>
      </c>
      <c r="G302" s="18" t="s">
        <v>847</v>
      </c>
      <c r="H302" s="59" t="s">
        <v>775</v>
      </c>
      <c r="I302" s="36">
        <v>7.6999999999999999E-2</v>
      </c>
      <c r="J302" s="18" t="s">
        <v>37</v>
      </c>
      <c r="K302" s="19" t="s">
        <v>848</v>
      </c>
      <c r="L302" s="19">
        <v>3</v>
      </c>
      <c r="M302" s="19" t="b">
        <v>1</v>
      </c>
      <c r="N302" s="19" t="b">
        <v>0</v>
      </c>
      <c r="O302" s="58" t="s">
        <v>39</v>
      </c>
    </row>
    <row r="303" spans="1:15">
      <c r="A303" s="106"/>
      <c r="B303" s="110"/>
      <c r="C303" s="114"/>
      <c r="D303" s="93"/>
      <c r="E303" s="94"/>
      <c r="F303" s="95"/>
      <c r="G303" s="18" t="s">
        <v>849</v>
      </c>
      <c r="H303" s="59" t="s">
        <v>850</v>
      </c>
      <c r="I303" s="36">
        <v>7.6499999999999999E-2</v>
      </c>
      <c r="J303" s="18" t="s">
        <v>37</v>
      </c>
      <c r="K303" s="19" t="s">
        <v>851</v>
      </c>
      <c r="L303" s="19">
        <v>4</v>
      </c>
      <c r="M303" s="19" t="b">
        <v>1</v>
      </c>
      <c r="N303" s="19" t="b">
        <v>1</v>
      </c>
      <c r="O303" s="58" t="s">
        <v>39</v>
      </c>
    </row>
    <row r="304" spans="1:15" ht="16.149999999999999" thickBot="1">
      <c r="A304" s="108"/>
      <c r="B304" s="112"/>
      <c r="C304" s="116"/>
      <c r="D304" s="146"/>
      <c r="E304" s="147"/>
      <c r="F304" s="148"/>
      <c r="G304" s="21" t="s">
        <v>852</v>
      </c>
      <c r="H304" s="79" t="s">
        <v>853</v>
      </c>
      <c r="I304" s="53">
        <v>7.6499999999999999E-2</v>
      </c>
      <c r="J304" s="21" t="s">
        <v>37</v>
      </c>
      <c r="K304" s="22" t="s">
        <v>854</v>
      </c>
      <c r="L304" s="22">
        <v>4</v>
      </c>
      <c r="M304" s="22" t="b">
        <v>1</v>
      </c>
      <c r="N304" s="22" t="b">
        <v>1</v>
      </c>
      <c r="O304" s="72" t="s">
        <v>39</v>
      </c>
    </row>
    <row r="305" spans="1:16">
      <c r="A305" s="105" t="s">
        <v>855</v>
      </c>
      <c r="B305" s="109" t="s">
        <v>856</v>
      </c>
      <c r="C305" s="113">
        <v>0.26</v>
      </c>
      <c r="D305" s="126" t="s">
        <v>857</v>
      </c>
      <c r="E305" s="128" t="s">
        <v>858</v>
      </c>
      <c r="F305" s="91">
        <v>0.27</v>
      </c>
      <c r="G305" s="134" t="s">
        <v>859</v>
      </c>
      <c r="H305" s="136" t="s">
        <v>860</v>
      </c>
      <c r="I305" s="91">
        <v>0.1</v>
      </c>
      <c r="J305" s="134" t="s">
        <v>21</v>
      </c>
      <c r="K305" s="12" t="s">
        <v>861</v>
      </c>
      <c r="L305" s="13"/>
      <c r="M305" s="13"/>
      <c r="N305" s="13"/>
      <c r="O305" s="73"/>
    </row>
    <row r="306" spans="1:16">
      <c r="A306" s="106"/>
      <c r="B306" s="110"/>
      <c r="C306" s="114"/>
      <c r="D306" s="127"/>
      <c r="E306" s="129"/>
      <c r="F306" s="92"/>
      <c r="G306" s="135"/>
      <c r="H306" s="137"/>
      <c r="I306" s="92"/>
      <c r="J306" s="135"/>
      <c r="K306" s="15" t="s">
        <v>862</v>
      </c>
      <c r="O306" s="71"/>
    </row>
    <row r="307" spans="1:16">
      <c r="A307" s="106"/>
      <c r="B307" s="110"/>
      <c r="C307" s="114"/>
      <c r="D307" s="127"/>
      <c r="E307" s="129"/>
      <c r="F307" s="92"/>
      <c r="G307" s="135"/>
      <c r="H307" s="137"/>
      <c r="I307" s="92"/>
      <c r="J307" s="135"/>
      <c r="K307" s="15" t="s">
        <v>863</v>
      </c>
      <c r="O307" s="71"/>
    </row>
    <row r="308" spans="1:16">
      <c r="A308" s="106"/>
      <c r="B308" s="110"/>
      <c r="C308" s="114"/>
      <c r="D308" s="127"/>
      <c r="E308" s="129"/>
      <c r="F308" s="92"/>
      <c r="G308" s="50" t="s">
        <v>864</v>
      </c>
      <c r="H308" s="80" t="s">
        <v>865</v>
      </c>
      <c r="I308" s="42">
        <v>0.1</v>
      </c>
      <c r="J308" s="50" t="s">
        <v>21</v>
      </c>
      <c r="K308" s="15" t="s">
        <v>866</v>
      </c>
      <c r="O308" s="71"/>
    </row>
    <row r="309" spans="1:16">
      <c r="A309" s="106"/>
      <c r="B309" s="110"/>
      <c r="C309" s="114"/>
      <c r="D309" s="127"/>
      <c r="E309" s="129"/>
      <c r="F309" s="92"/>
      <c r="G309" s="50" t="s">
        <v>867</v>
      </c>
      <c r="H309" s="80" t="s">
        <v>868</v>
      </c>
      <c r="I309" s="42">
        <v>7.0000000000000007E-2</v>
      </c>
      <c r="J309" s="50" t="s">
        <v>21</v>
      </c>
      <c r="K309" s="15" t="s">
        <v>862</v>
      </c>
      <c r="O309" s="71"/>
    </row>
    <row r="310" spans="1:16">
      <c r="A310" s="106"/>
      <c r="B310" s="110"/>
      <c r="C310" s="114"/>
      <c r="D310" s="93" t="s">
        <v>869</v>
      </c>
      <c r="E310" s="94" t="s">
        <v>870</v>
      </c>
      <c r="F310" s="95">
        <v>0.26600000000000001</v>
      </c>
      <c r="G310" s="18" t="s">
        <v>871</v>
      </c>
      <c r="H310" s="59" t="s">
        <v>872</v>
      </c>
      <c r="I310" s="36">
        <v>3.3500000000000002E-2</v>
      </c>
      <c r="J310" s="18" t="s">
        <v>37</v>
      </c>
      <c r="K310" s="19" t="s">
        <v>873</v>
      </c>
      <c r="L310" s="19">
        <v>3</v>
      </c>
      <c r="M310" s="19" t="b">
        <v>1</v>
      </c>
      <c r="N310" s="19" t="b">
        <v>0</v>
      </c>
      <c r="O310" s="58" t="s">
        <v>874</v>
      </c>
      <c r="P310" s="20"/>
    </row>
    <row r="311" spans="1:16" ht="47.25">
      <c r="A311" s="106"/>
      <c r="B311" s="110"/>
      <c r="C311" s="114"/>
      <c r="D311" s="93"/>
      <c r="E311" s="94"/>
      <c r="F311" s="95"/>
      <c r="G311" s="18" t="s">
        <v>875</v>
      </c>
      <c r="H311" s="59" t="s">
        <v>876</v>
      </c>
      <c r="I311" s="36">
        <v>3.3500000000000002E-2</v>
      </c>
      <c r="J311" s="18" t="s">
        <v>37</v>
      </c>
      <c r="K311" s="19" t="s">
        <v>877</v>
      </c>
      <c r="L311" s="19">
        <v>3</v>
      </c>
      <c r="M311" s="19" t="b">
        <v>1</v>
      </c>
      <c r="N311" s="19" t="b">
        <v>0</v>
      </c>
      <c r="O311" s="60" t="s">
        <v>878</v>
      </c>
    </row>
    <row r="312" spans="1:16">
      <c r="A312" s="106"/>
      <c r="B312" s="110"/>
      <c r="C312" s="114"/>
      <c r="D312" s="93"/>
      <c r="E312" s="94"/>
      <c r="F312" s="95"/>
      <c r="G312" s="18" t="s">
        <v>879</v>
      </c>
      <c r="H312" s="59" t="s">
        <v>880</v>
      </c>
      <c r="I312" s="36">
        <v>3.3500000000000002E-2</v>
      </c>
      <c r="J312" s="18" t="s">
        <v>37</v>
      </c>
      <c r="K312" s="19" t="s">
        <v>881</v>
      </c>
      <c r="L312" s="19">
        <v>4</v>
      </c>
      <c r="M312" s="19" t="b">
        <v>1</v>
      </c>
      <c r="N312" s="19" t="b">
        <v>1</v>
      </c>
      <c r="O312" s="58" t="s">
        <v>39</v>
      </c>
    </row>
    <row r="313" spans="1:16" s="57" customFormat="1">
      <c r="A313" s="106"/>
      <c r="B313" s="110"/>
      <c r="C313" s="114"/>
      <c r="D313" s="93"/>
      <c r="E313" s="94"/>
      <c r="F313" s="95"/>
      <c r="G313" s="54" t="s">
        <v>882</v>
      </c>
      <c r="H313" s="59" t="s">
        <v>883</v>
      </c>
      <c r="I313" s="55">
        <v>3.3500000000000002E-2</v>
      </c>
      <c r="J313" s="54" t="s">
        <v>37</v>
      </c>
      <c r="K313" s="56" t="s">
        <v>884</v>
      </c>
      <c r="L313" s="56">
        <v>3</v>
      </c>
      <c r="M313" s="56" t="b">
        <v>1</v>
      </c>
      <c r="N313" s="56" t="b">
        <v>0</v>
      </c>
      <c r="O313" s="58" t="s">
        <v>39</v>
      </c>
    </row>
    <row r="314" spans="1:16">
      <c r="A314" s="106"/>
      <c r="B314" s="110"/>
      <c r="C314" s="114"/>
      <c r="D314" s="93"/>
      <c r="E314" s="94"/>
      <c r="F314" s="95"/>
      <c r="G314" s="18" t="s">
        <v>885</v>
      </c>
      <c r="H314" s="59" t="s">
        <v>886</v>
      </c>
      <c r="I314" s="36">
        <v>3.3500000000000002E-2</v>
      </c>
      <c r="J314" s="18" t="s">
        <v>37</v>
      </c>
      <c r="K314" s="19" t="s">
        <v>887</v>
      </c>
      <c r="L314" s="19">
        <v>3</v>
      </c>
      <c r="M314" s="19" t="b">
        <v>1</v>
      </c>
      <c r="N314" s="19" t="b">
        <v>0</v>
      </c>
      <c r="O314" s="58" t="s">
        <v>39</v>
      </c>
    </row>
    <row r="315" spans="1:16" ht="63">
      <c r="A315" s="106"/>
      <c r="B315" s="110"/>
      <c r="C315" s="114"/>
      <c r="D315" s="93"/>
      <c r="E315" s="94"/>
      <c r="F315" s="95"/>
      <c r="G315" s="18" t="s">
        <v>888</v>
      </c>
      <c r="H315" s="59" t="s">
        <v>889</v>
      </c>
      <c r="I315" s="36">
        <v>6.6000000000000003E-2</v>
      </c>
      <c r="J315" s="18" t="s">
        <v>37</v>
      </c>
      <c r="K315" s="19" t="s">
        <v>890</v>
      </c>
      <c r="L315" s="19">
        <v>4</v>
      </c>
      <c r="M315" s="19" t="b">
        <v>1</v>
      </c>
      <c r="N315" s="19" t="b">
        <v>1</v>
      </c>
      <c r="O315" s="60" t="s">
        <v>891</v>
      </c>
    </row>
    <row r="316" spans="1:16">
      <c r="A316" s="106"/>
      <c r="B316" s="110"/>
      <c r="C316" s="114"/>
      <c r="D316" s="93"/>
      <c r="E316" s="94"/>
      <c r="F316" s="95"/>
      <c r="G316" s="18" t="s">
        <v>892</v>
      </c>
      <c r="H316" s="59" t="s">
        <v>893</v>
      </c>
      <c r="I316" s="36">
        <v>3.2500000000000001E-2</v>
      </c>
      <c r="J316" s="18" t="s">
        <v>37</v>
      </c>
      <c r="K316" s="19" t="s">
        <v>894</v>
      </c>
      <c r="L316" s="63">
        <v>3</v>
      </c>
      <c r="M316" s="63" t="b">
        <v>1</v>
      </c>
      <c r="N316" s="63" t="b">
        <v>0</v>
      </c>
      <c r="O316" s="58" t="s">
        <v>39</v>
      </c>
    </row>
    <row r="317" spans="1:16">
      <c r="A317" s="106"/>
      <c r="B317" s="110"/>
      <c r="C317" s="114"/>
      <c r="D317" s="93" t="s">
        <v>895</v>
      </c>
      <c r="E317" s="94" t="s">
        <v>896</v>
      </c>
      <c r="F317" s="95">
        <v>0.23200000000000001</v>
      </c>
      <c r="G317" s="18" t="s">
        <v>897</v>
      </c>
      <c r="H317" s="59" t="s">
        <v>898</v>
      </c>
      <c r="I317" s="36">
        <v>6.4000000000000001E-2</v>
      </c>
      <c r="J317" s="18" t="s">
        <v>37</v>
      </c>
      <c r="K317" s="19" t="s">
        <v>899</v>
      </c>
      <c r="L317" s="19">
        <v>3</v>
      </c>
      <c r="M317" s="19" t="b">
        <v>1</v>
      </c>
      <c r="N317" s="19" t="b">
        <v>0</v>
      </c>
      <c r="O317" s="58" t="s">
        <v>900</v>
      </c>
    </row>
    <row r="318" spans="1:16">
      <c r="A318" s="106"/>
      <c r="B318" s="110"/>
      <c r="C318" s="114"/>
      <c r="D318" s="93"/>
      <c r="E318" s="94"/>
      <c r="F318" s="95"/>
      <c r="G318" s="18" t="s">
        <v>901</v>
      </c>
      <c r="H318" s="59" t="s">
        <v>902</v>
      </c>
      <c r="I318" s="36">
        <v>6.4000000000000001E-2</v>
      </c>
      <c r="J318" s="18" t="s">
        <v>37</v>
      </c>
      <c r="K318" s="19" t="s">
        <v>903</v>
      </c>
      <c r="L318" s="19">
        <v>3</v>
      </c>
      <c r="M318" s="19" t="b">
        <v>1</v>
      </c>
      <c r="N318" s="19" t="b">
        <v>0</v>
      </c>
      <c r="O318" s="58" t="s">
        <v>39</v>
      </c>
    </row>
    <row r="319" spans="1:16">
      <c r="A319" s="106"/>
      <c r="B319" s="110"/>
      <c r="C319" s="114"/>
      <c r="D319" s="93"/>
      <c r="E319" s="94"/>
      <c r="F319" s="95"/>
      <c r="G319" s="18" t="s">
        <v>904</v>
      </c>
      <c r="H319" s="59" t="s">
        <v>905</v>
      </c>
      <c r="I319" s="36">
        <v>6.4000000000000001E-2</v>
      </c>
      <c r="J319" s="18" t="s">
        <v>37</v>
      </c>
      <c r="K319" s="19" t="s">
        <v>906</v>
      </c>
      <c r="L319" s="19">
        <v>3</v>
      </c>
      <c r="M319" s="19" t="b">
        <v>1</v>
      </c>
      <c r="N319" s="19" t="b">
        <v>0</v>
      </c>
      <c r="O319" s="58" t="s">
        <v>39</v>
      </c>
    </row>
    <row r="320" spans="1:16">
      <c r="A320" s="106"/>
      <c r="B320" s="110"/>
      <c r="C320" s="114"/>
      <c r="D320" s="93"/>
      <c r="E320" s="94"/>
      <c r="F320" s="95"/>
      <c r="G320" s="18" t="s">
        <v>907</v>
      </c>
      <c r="H320" s="59" t="s">
        <v>908</v>
      </c>
      <c r="I320" s="36">
        <v>0.04</v>
      </c>
      <c r="J320" s="18" t="s">
        <v>37</v>
      </c>
      <c r="K320" s="19" t="s">
        <v>909</v>
      </c>
      <c r="L320" s="19">
        <v>3</v>
      </c>
      <c r="M320" s="19" t="b">
        <v>1</v>
      </c>
      <c r="N320" s="19" t="b">
        <v>0</v>
      </c>
      <c r="O320" s="58" t="s">
        <v>39</v>
      </c>
    </row>
    <row r="321" spans="1:16">
      <c r="A321" s="106"/>
      <c r="B321" s="110"/>
      <c r="C321" s="114"/>
      <c r="D321" s="130" t="s">
        <v>910</v>
      </c>
      <c r="E321" s="132" t="s">
        <v>911</v>
      </c>
      <c r="F321" s="101">
        <v>0.23200000000000001</v>
      </c>
      <c r="G321" s="96" t="s">
        <v>912</v>
      </c>
      <c r="H321" s="99" t="s">
        <v>913</v>
      </c>
      <c r="I321" s="101">
        <v>0.23200000000000001</v>
      </c>
      <c r="J321" s="103" t="s">
        <v>29</v>
      </c>
      <c r="K321" s="17" t="s">
        <v>109</v>
      </c>
      <c r="O321" s="71"/>
    </row>
    <row r="322" spans="1:16">
      <c r="A322" s="106"/>
      <c r="B322" s="110"/>
      <c r="C322" s="114"/>
      <c r="D322" s="130"/>
      <c r="E322" s="132"/>
      <c r="F322" s="101"/>
      <c r="G322" s="97"/>
      <c r="H322" s="99"/>
      <c r="I322" s="101"/>
      <c r="J322" s="103"/>
      <c r="K322" s="17" t="s">
        <v>914</v>
      </c>
      <c r="O322" s="71"/>
    </row>
    <row r="323" spans="1:16" ht="16.149999999999999" thickBot="1">
      <c r="A323" s="108"/>
      <c r="B323" s="112"/>
      <c r="C323" s="116"/>
      <c r="D323" s="131"/>
      <c r="E323" s="133"/>
      <c r="F323" s="102"/>
      <c r="G323" s="98"/>
      <c r="H323" s="100"/>
      <c r="I323" s="102"/>
      <c r="J323" s="104"/>
      <c r="K323" s="23" t="s">
        <v>915</v>
      </c>
      <c r="L323" s="24"/>
      <c r="M323" s="24"/>
      <c r="N323" s="24"/>
      <c r="O323" s="74"/>
    </row>
    <row r="324" spans="1:16">
      <c r="A324" s="105" t="s">
        <v>916</v>
      </c>
      <c r="B324" s="109" t="s">
        <v>917</v>
      </c>
      <c r="C324" s="113">
        <v>0.22</v>
      </c>
      <c r="D324" s="126" t="s">
        <v>918</v>
      </c>
      <c r="E324" s="128" t="s">
        <v>919</v>
      </c>
      <c r="F324" s="91">
        <v>0.27100000000000002</v>
      </c>
      <c r="G324" s="49" t="s">
        <v>920</v>
      </c>
      <c r="H324" s="81" t="s">
        <v>921</v>
      </c>
      <c r="I324" s="41">
        <v>0.13550000000000001</v>
      </c>
      <c r="J324" s="49" t="s">
        <v>21</v>
      </c>
      <c r="K324" s="12" t="s">
        <v>922</v>
      </c>
      <c r="L324" s="13"/>
      <c r="M324" s="13"/>
      <c r="N324" s="13"/>
      <c r="O324" s="73"/>
    </row>
    <row r="325" spans="1:16">
      <c r="A325" s="106"/>
      <c r="B325" s="110"/>
      <c r="C325" s="114"/>
      <c r="D325" s="127"/>
      <c r="E325" s="129"/>
      <c r="F325" s="92"/>
      <c r="G325" s="50" t="s">
        <v>923</v>
      </c>
      <c r="H325" s="80" t="s">
        <v>924</v>
      </c>
      <c r="I325" s="42">
        <v>0.13550000000000001</v>
      </c>
      <c r="J325" s="50" t="s">
        <v>21</v>
      </c>
      <c r="K325" s="15" t="s">
        <v>925</v>
      </c>
      <c r="O325" s="71"/>
    </row>
    <row r="326" spans="1:16">
      <c r="A326" s="106"/>
      <c r="B326" s="110"/>
      <c r="C326" s="114"/>
      <c r="D326" s="93" t="s">
        <v>926</v>
      </c>
      <c r="E326" s="94" t="s">
        <v>927</v>
      </c>
      <c r="F326" s="95">
        <v>0.185</v>
      </c>
      <c r="G326" s="18" t="s">
        <v>928</v>
      </c>
      <c r="H326" s="59" t="s">
        <v>929</v>
      </c>
      <c r="I326" s="36">
        <v>3.6999999999999998E-2</v>
      </c>
      <c r="J326" s="18" t="s">
        <v>37</v>
      </c>
      <c r="K326" s="19" t="s">
        <v>930</v>
      </c>
      <c r="L326" s="19">
        <v>3</v>
      </c>
      <c r="M326" s="19" t="b">
        <v>1</v>
      </c>
      <c r="N326" s="19" t="b">
        <v>0</v>
      </c>
      <c r="O326" s="58" t="s">
        <v>39</v>
      </c>
    </row>
    <row r="327" spans="1:16">
      <c r="A327" s="106"/>
      <c r="B327" s="110"/>
      <c r="C327" s="114"/>
      <c r="D327" s="93"/>
      <c r="E327" s="94"/>
      <c r="F327" s="95"/>
      <c r="G327" s="18" t="s">
        <v>931</v>
      </c>
      <c r="H327" s="59" t="s">
        <v>932</v>
      </c>
      <c r="I327" s="36">
        <v>3.6999999999999998E-2</v>
      </c>
      <c r="J327" s="18" t="s">
        <v>37</v>
      </c>
      <c r="K327" s="19" t="s">
        <v>933</v>
      </c>
      <c r="L327" s="19">
        <v>3</v>
      </c>
      <c r="M327" s="19" t="b">
        <v>1</v>
      </c>
      <c r="N327" s="19" t="b">
        <v>0</v>
      </c>
      <c r="O327" s="58" t="s">
        <v>39</v>
      </c>
    </row>
    <row r="328" spans="1:16">
      <c r="A328" s="106"/>
      <c r="B328" s="110"/>
      <c r="C328" s="114"/>
      <c r="D328" s="93"/>
      <c r="E328" s="94"/>
      <c r="F328" s="95"/>
      <c r="G328" s="18" t="s">
        <v>934</v>
      </c>
      <c r="H328" s="59" t="s">
        <v>935</v>
      </c>
      <c r="I328" s="36">
        <v>3.6999999999999998E-2</v>
      </c>
      <c r="J328" s="18" t="s">
        <v>37</v>
      </c>
      <c r="K328" s="19" t="s">
        <v>936</v>
      </c>
      <c r="L328" s="19">
        <v>3</v>
      </c>
      <c r="M328" s="19" t="b">
        <v>1</v>
      </c>
      <c r="N328" s="19" t="b">
        <v>0</v>
      </c>
      <c r="O328" s="58" t="s">
        <v>39</v>
      </c>
    </row>
    <row r="329" spans="1:16">
      <c r="A329" s="106"/>
      <c r="B329" s="110"/>
      <c r="C329" s="114"/>
      <c r="D329" s="93"/>
      <c r="E329" s="94"/>
      <c r="F329" s="95"/>
      <c r="G329" s="18" t="s">
        <v>937</v>
      </c>
      <c r="H329" s="59" t="s">
        <v>938</v>
      </c>
      <c r="I329" s="36">
        <v>3.6999999999999998E-2</v>
      </c>
      <c r="J329" s="18" t="s">
        <v>37</v>
      </c>
      <c r="K329" s="19" t="s">
        <v>939</v>
      </c>
      <c r="L329" s="19">
        <v>3</v>
      </c>
      <c r="M329" s="19" t="b">
        <v>1</v>
      </c>
      <c r="N329" s="19" t="b">
        <v>0</v>
      </c>
      <c r="O329" s="58" t="s">
        <v>39</v>
      </c>
    </row>
    <row r="330" spans="1:16" ht="31.5">
      <c r="A330" s="106"/>
      <c r="B330" s="110"/>
      <c r="C330" s="114"/>
      <c r="D330" s="93"/>
      <c r="E330" s="94"/>
      <c r="F330" s="95"/>
      <c r="G330" s="18" t="s">
        <v>940</v>
      </c>
      <c r="H330" s="59" t="s">
        <v>941</v>
      </c>
      <c r="I330" s="36">
        <v>3.6999999999999998E-2</v>
      </c>
      <c r="J330" s="18" t="s">
        <v>37</v>
      </c>
      <c r="K330" s="19" t="s">
        <v>942</v>
      </c>
      <c r="L330" s="19">
        <v>3</v>
      </c>
      <c r="M330" s="19" t="b">
        <v>1</v>
      </c>
      <c r="N330" s="19" t="b">
        <v>0</v>
      </c>
      <c r="O330" s="60" t="s">
        <v>943</v>
      </c>
      <c r="P330" s="20"/>
    </row>
    <row r="331" spans="1:16">
      <c r="A331" s="106"/>
      <c r="B331" s="110"/>
      <c r="C331" s="114"/>
      <c r="D331" s="93" t="s">
        <v>944</v>
      </c>
      <c r="E331" s="94" t="s">
        <v>945</v>
      </c>
      <c r="F331" s="95">
        <v>0.27200000000000002</v>
      </c>
      <c r="G331" s="18" t="s">
        <v>946</v>
      </c>
      <c r="H331" s="59" t="s">
        <v>947</v>
      </c>
      <c r="I331" s="36">
        <v>1.6E-2</v>
      </c>
      <c r="J331" s="18" t="s">
        <v>37</v>
      </c>
      <c r="K331" s="19" t="s">
        <v>948</v>
      </c>
      <c r="L331" s="19">
        <v>3</v>
      </c>
      <c r="M331" s="19" t="b">
        <v>1</v>
      </c>
      <c r="N331" s="19" t="b">
        <v>0</v>
      </c>
      <c r="O331" s="58" t="s">
        <v>949</v>
      </c>
    </row>
    <row r="332" spans="1:16">
      <c r="A332" s="106"/>
      <c r="B332" s="110"/>
      <c r="C332" s="114"/>
      <c r="D332" s="93"/>
      <c r="E332" s="94"/>
      <c r="F332" s="95"/>
      <c r="G332" s="18" t="s">
        <v>950</v>
      </c>
      <c r="H332" s="59" t="s">
        <v>951</v>
      </c>
      <c r="I332" s="36">
        <v>1.6E-2</v>
      </c>
      <c r="J332" s="18" t="s">
        <v>37</v>
      </c>
      <c r="K332" s="19" t="s">
        <v>952</v>
      </c>
      <c r="L332" s="19">
        <v>3</v>
      </c>
      <c r="M332" s="19" t="b">
        <v>1</v>
      </c>
      <c r="N332" s="19" t="b">
        <v>0</v>
      </c>
      <c r="O332" s="58" t="s">
        <v>949</v>
      </c>
    </row>
    <row r="333" spans="1:16">
      <c r="A333" s="106"/>
      <c r="B333" s="110"/>
      <c r="C333" s="114"/>
      <c r="D333" s="93"/>
      <c r="E333" s="94"/>
      <c r="F333" s="95"/>
      <c r="G333" s="18" t="s">
        <v>953</v>
      </c>
      <c r="H333" s="59" t="s">
        <v>954</v>
      </c>
      <c r="I333" s="36">
        <v>1.6E-2</v>
      </c>
      <c r="J333" s="18" t="s">
        <v>37</v>
      </c>
      <c r="K333" s="19" t="s">
        <v>955</v>
      </c>
      <c r="L333" s="19">
        <v>3</v>
      </c>
      <c r="M333" s="19" t="b">
        <v>1</v>
      </c>
      <c r="N333" s="19" t="b">
        <v>0</v>
      </c>
      <c r="O333" s="58" t="s">
        <v>949</v>
      </c>
    </row>
    <row r="334" spans="1:16">
      <c r="A334" s="106"/>
      <c r="B334" s="110"/>
      <c r="C334" s="114"/>
      <c r="D334" s="93"/>
      <c r="E334" s="94"/>
      <c r="F334" s="95"/>
      <c r="G334" s="18" t="s">
        <v>956</v>
      </c>
      <c r="H334" s="59" t="s">
        <v>957</v>
      </c>
      <c r="I334" s="36">
        <v>1.6E-2</v>
      </c>
      <c r="J334" s="18" t="s">
        <v>37</v>
      </c>
      <c r="K334" s="19" t="s">
        <v>958</v>
      </c>
      <c r="L334" s="19">
        <v>3</v>
      </c>
      <c r="M334" s="19" t="b">
        <v>1</v>
      </c>
      <c r="N334" s="19" t="b">
        <v>0</v>
      </c>
      <c r="O334" s="58" t="s">
        <v>949</v>
      </c>
    </row>
    <row r="335" spans="1:16">
      <c r="A335" s="106"/>
      <c r="B335" s="110"/>
      <c r="C335" s="114"/>
      <c r="D335" s="93"/>
      <c r="E335" s="94"/>
      <c r="F335" s="95"/>
      <c r="G335" s="18" t="s">
        <v>959</v>
      </c>
      <c r="H335" s="59" t="s">
        <v>960</v>
      </c>
      <c r="I335" s="36">
        <v>1.6E-2</v>
      </c>
      <c r="J335" s="18" t="s">
        <v>37</v>
      </c>
      <c r="K335" s="19" t="s">
        <v>961</v>
      </c>
      <c r="L335" s="19">
        <v>3</v>
      </c>
      <c r="M335" s="19" t="b">
        <v>1</v>
      </c>
      <c r="N335" s="19" t="b">
        <v>0</v>
      </c>
      <c r="O335" s="58" t="s">
        <v>949</v>
      </c>
    </row>
    <row r="336" spans="1:16">
      <c r="A336" s="106"/>
      <c r="B336" s="110"/>
      <c r="C336" s="114"/>
      <c r="D336" s="93"/>
      <c r="E336" s="94"/>
      <c r="F336" s="95"/>
      <c r="G336" s="18" t="s">
        <v>962</v>
      </c>
      <c r="H336" s="59" t="s">
        <v>963</v>
      </c>
      <c r="I336" s="36">
        <v>1.6E-2</v>
      </c>
      <c r="J336" s="18" t="s">
        <v>37</v>
      </c>
      <c r="K336" s="19" t="s">
        <v>964</v>
      </c>
      <c r="L336" s="19">
        <v>3</v>
      </c>
      <c r="M336" s="19" t="b">
        <v>1</v>
      </c>
      <c r="N336" s="19" t="b">
        <v>0</v>
      </c>
      <c r="O336" s="58" t="s">
        <v>949</v>
      </c>
    </row>
    <row r="337" spans="1:15">
      <c r="A337" s="106"/>
      <c r="B337" s="110"/>
      <c r="C337" s="114"/>
      <c r="D337" s="93"/>
      <c r="E337" s="94"/>
      <c r="F337" s="95"/>
      <c r="G337" s="18" t="s">
        <v>965</v>
      </c>
      <c r="H337" s="59" t="s">
        <v>966</v>
      </c>
      <c r="I337" s="36">
        <v>1.6E-2</v>
      </c>
      <c r="J337" s="18" t="s">
        <v>37</v>
      </c>
      <c r="K337" s="19" t="s">
        <v>967</v>
      </c>
      <c r="L337" s="19">
        <v>3</v>
      </c>
      <c r="M337" s="19" t="b">
        <v>1</v>
      </c>
      <c r="N337" s="19" t="b">
        <v>0</v>
      </c>
      <c r="O337" s="58" t="s">
        <v>949</v>
      </c>
    </row>
    <row r="338" spans="1:15">
      <c r="A338" s="106"/>
      <c r="B338" s="110"/>
      <c r="C338" s="114"/>
      <c r="D338" s="93"/>
      <c r="E338" s="94"/>
      <c r="F338" s="95"/>
      <c r="G338" s="18" t="s">
        <v>968</v>
      </c>
      <c r="H338" s="59" t="s">
        <v>969</v>
      </c>
      <c r="I338" s="36">
        <v>1.6E-2</v>
      </c>
      <c r="J338" s="18" t="s">
        <v>37</v>
      </c>
      <c r="K338" s="19" t="s">
        <v>970</v>
      </c>
      <c r="L338" s="19">
        <v>3</v>
      </c>
      <c r="M338" s="19" t="b">
        <v>1</v>
      </c>
      <c r="N338" s="19" t="b">
        <v>0</v>
      </c>
      <c r="O338" s="58" t="s">
        <v>949</v>
      </c>
    </row>
    <row r="339" spans="1:15">
      <c r="A339" s="106"/>
      <c r="B339" s="110"/>
      <c r="C339" s="114"/>
      <c r="D339" s="93"/>
      <c r="E339" s="94"/>
      <c r="F339" s="95"/>
      <c r="G339" s="18" t="s">
        <v>971</v>
      </c>
      <c r="H339" s="59" t="s">
        <v>972</v>
      </c>
      <c r="I339" s="36">
        <v>1.6E-2</v>
      </c>
      <c r="J339" s="18" t="s">
        <v>37</v>
      </c>
      <c r="K339" s="19" t="s">
        <v>973</v>
      </c>
      <c r="L339" s="19">
        <v>3</v>
      </c>
      <c r="M339" s="19" t="b">
        <v>1</v>
      </c>
      <c r="N339" s="19" t="b">
        <v>0</v>
      </c>
      <c r="O339" s="58" t="s">
        <v>949</v>
      </c>
    </row>
    <row r="340" spans="1:15">
      <c r="A340" s="106"/>
      <c r="B340" s="110"/>
      <c r="C340" s="114"/>
      <c r="D340" s="93"/>
      <c r="E340" s="94"/>
      <c r="F340" s="95"/>
      <c r="G340" s="18" t="s">
        <v>974</v>
      </c>
      <c r="H340" s="59" t="s">
        <v>975</v>
      </c>
      <c r="I340" s="36">
        <v>1.6E-2</v>
      </c>
      <c r="J340" s="18" t="s">
        <v>37</v>
      </c>
      <c r="K340" s="19" t="s">
        <v>976</v>
      </c>
      <c r="L340" s="19">
        <v>3</v>
      </c>
      <c r="M340" s="19" t="b">
        <v>1</v>
      </c>
      <c r="N340" s="19" t="b">
        <v>0</v>
      </c>
      <c r="O340" s="58" t="s">
        <v>949</v>
      </c>
    </row>
    <row r="341" spans="1:15">
      <c r="A341" s="106"/>
      <c r="B341" s="110"/>
      <c r="C341" s="114"/>
      <c r="D341" s="93"/>
      <c r="E341" s="94"/>
      <c r="F341" s="95"/>
      <c r="G341" s="18" t="s">
        <v>977</v>
      </c>
      <c r="H341" s="59" t="s">
        <v>978</v>
      </c>
      <c r="I341" s="36">
        <v>1.6E-2</v>
      </c>
      <c r="J341" s="18" t="s">
        <v>37</v>
      </c>
      <c r="K341" s="19" t="s">
        <v>979</v>
      </c>
      <c r="L341" s="19">
        <v>3</v>
      </c>
      <c r="M341" s="19" t="b">
        <v>1</v>
      </c>
      <c r="N341" s="19" t="b">
        <v>0</v>
      </c>
      <c r="O341" s="58" t="s">
        <v>949</v>
      </c>
    </row>
    <row r="342" spans="1:15">
      <c r="A342" s="106"/>
      <c r="B342" s="110"/>
      <c r="C342" s="114"/>
      <c r="D342" s="93"/>
      <c r="E342" s="94"/>
      <c r="F342" s="95"/>
      <c r="G342" s="18" t="s">
        <v>980</v>
      </c>
      <c r="H342" s="59" t="s">
        <v>981</v>
      </c>
      <c r="I342" s="36">
        <v>1.6E-2</v>
      </c>
      <c r="J342" s="18" t="s">
        <v>37</v>
      </c>
      <c r="K342" s="19" t="s">
        <v>982</v>
      </c>
      <c r="L342" s="19">
        <v>3</v>
      </c>
      <c r="M342" s="19" t="b">
        <v>1</v>
      </c>
      <c r="N342" s="19" t="b">
        <v>0</v>
      </c>
      <c r="O342" s="58" t="s">
        <v>949</v>
      </c>
    </row>
    <row r="343" spans="1:15">
      <c r="A343" s="106"/>
      <c r="B343" s="110"/>
      <c r="C343" s="114"/>
      <c r="D343" s="93"/>
      <c r="E343" s="94"/>
      <c r="F343" s="95"/>
      <c r="G343" s="18" t="s">
        <v>983</v>
      </c>
      <c r="H343" s="59" t="s">
        <v>984</v>
      </c>
      <c r="I343" s="36">
        <v>1.6E-2</v>
      </c>
      <c r="J343" s="18" t="s">
        <v>37</v>
      </c>
      <c r="K343" s="19" t="s">
        <v>985</v>
      </c>
      <c r="L343" s="19">
        <v>3</v>
      </c>
      <c r="M343" s="19" t="b">
        <v>1</v>
      </c>
      <c r="N343" s="19" t="b">
        <v>0</v>
      </c>
      <c r="O343" s="58" t="s">
        <v>949</v>
      </c>
    </row>
    <row r="344" spans="1:15">
      <c r="A344" s="106"/>
      <c r="B344" s="110"/>
      <c r="C344" s="114"/>
      <c r="D344" s="93"/>
      <c r="E344" s="94"/>
      <c r="F344" s="95"/>
      <c r="G344" s="18" t="s">
        <v>986</v>
      </c>
      <c r="H344" s="59" t="s">
        <v>987</v>
      </c>
      <c r="I344" s="36">
        <v>1.6E-2</v>
      </c>
      <c r="J344" s="18" t="s">
        <v>37</v>
      </c>
      <c r="K344" s="19" t="s">
        <v>988</v>
      </c>
      <c r="L344" s="19">
        <v>3</v>
      </c>
      <c r="M344" s="19" t="b">
        <v>1</v>
      </c>
      <c r="N344" s="19" t="b">
        <v>0</v>
      </c>
      <c r="O344" s="58" t="s">
        <v>949</v>
      </c>
    </row>
    <row r="345" spans="1:15">
      <c r="A345" s="106"/>
      <c r="B345" s="110"/>
      <c r="C345" s="114"/>
      <c r="D345" s="93"/>
      <c r="E345" s="94"/>
      <c r="F345" s="95"/>
      <c r="G345" s="18" t="s">
        <v>989</v>
      </c>
      <c r="H345" s="59" t="s">
        <v>990</v>
      </c>
      <c r="I345" s="36">
        <v>1.6E-2</v>
      </c>
      <c r="J345" s="18" t="s">
        <v>37</v>
      </c>
      <c r="K345" s="19" t="s">
        <v>991</v>
      </c>
      <c r="L345" s="19">
        <v>3</v>
      </c>
      <c r="M345" s="19" t="b">
        <v>1</v>
      </c>
      <c r="N345" s="19" t="b">
        <v>0</v>
      </c>
      <c r="O345" s="58" t="s">
        <v>949</v>
      </c>
    </row>
    <row r="346" spans="1:15">
      <c r="A346" s="106"/>
      <c r="B346" s="110"/>
      <c r="C346" s="114"/>
      <c r="D346" s="93"/>
      <c r="E346" s="94"/>
      <c r="F346" s="95"/>
      <c r="G346" s="18" t="s">
        <v>992</v>
      </c>
      <c r="H346" s="59" t="s">
        <v>993</v>
      </c>
      <c r="I346" s="36">
        <v>1.6E-2</v>
      </c>
      <c r="J346" s="18" t="s">
        <v>37</v>
      </c>
      <c r="K346" s="19" t="s">
        <v>994</v>
      </c>
      <c r="L346" s="19">
        <v>3</v>
      </c>
      <c r="M346" s="19" t="b">
        <v>1</v>
      </c>
      <c r="N346" s="19" t="b">
        <v>0</v>
      </c>
      <c r="O346" s="58" t="s">
        <v>949</v>
      </c>
    </row>
    <row r="347" spans="1:15">
      <c r="A347" s="106"/>
      <c r="B347" s="110"/>
      <c r="C347" s="114"/>
      <c r="D347" s="93"/>
      <c r="E347" s="94"/>
      <c r="F347" s="95"/>
      <c r="G347" s="18" t="s">
        <v>995</v>
      </c>
      <c r="H347" s="59" t="s">
        <v>996</v>
      </c>
      <c r="I347" s="36">
        <v>1.6E-2</v>
      </c>
      <c r="J347" s="18" t="s">
        <v>37</v>
      </c>
      <c r="K347" s="19" t="s">
        <v>997</v>
      </c>
      <c r="L347" s="19">
        <v>3</v>
      </c>
      <c r="M347" s="19" t="b">
        <v>1</v>
      </c>
      <c r="N347" s="19" t="b">
        <v>0</v>
      </c>
      <c r="O347" s="58" t="s">
        <v>949</v>
      </c>
    </row>
    <row r="348" spans="1:15" ht="31.5">
      <c r="A348" s="107"/>
      <c r="B348" s="111"/>
      <c r="C348" s="115"/>
      <c r="D348" s="117" t="s">
        <v>998</v>
      </c>
      <c r="E348" s="120" t="s">
        <v>999</v>
      </c>
      <c r="F348" s="123">
        <v>0.27200000000000002</v>
      </c>
      <c r="G348" s="25" t="s">
        <v>1000</v>
      </c>
      <c r="H348" s="66" t="s">
        <v>1012</v>
      </c>
      <c r="I348" s="67">
        <v>9.06E-2</v>
      </c>
      <c r="J348" s="18" t="s">
        <v>37</v>
      </c>
      <c r="K348" s="26" t="s">
        <v>1001</v>
      </c>
      <c r="L348" s="26">
        <v>3</v>
      </c>
      <c r="M348" s="26" t="b">
        <v>1</v>
      </c>
      <c r="N348" s="26" t="b">
        <v>0</v>
      </c>
      <c r="O348" s="77" t="s">
        <v>1002</v>
      </c>
    </row>
    <row r="349" spans="1:15">
      <c r="A349" s="107"/>
      <c r="B349" s="111"/>
      <c r="C349" s="115"/>
      <c r="D349" s="118"/>
      <c r="E349" s="121"/>
      <c r="F349" s="124"/>
      <c r="G349" s="68" t="s">
        <v>1003</v>
      </c>
      <c r="H349" s="66" t="s">
        <v>1004</v>
      </c>
      <c r="I349" s="67">
        <v>9.06E-2</v>
      </c>
      <c r="J349" s="61" t="s">
        <v>37</v>
      </c>
      <c r="K349" s="66" t="s">
        <v>1005</v>
      </c>
      <c r="L349" s="69">
        <v>3</v>
      </c>
      <c r="M349" s="69" t="b">
        <v>1</v>
      </c>
      <c r="N349" s="69" t="b">
        <v>0</v>
      </c>
      <c r="O349" s="70" t="s">
        <v>39</v>
      </c>
    </row>
    <row r="350" spans="1:15" ht="47.25">
      <c r="A350" s="107"/>
      <c r="B350" s="111"/>
      <c r="C350" s="115"/>
      <c r="D350" s="118"/>
      <c r="E350" s="121"/>
      <c r="F350" s="124"/>
      <c r="G350" s="68" t="s">
        <v>1006</v>
      </c>
      <c r="H350" s="66" t="s">
        <v>1007</v>
      </c>
      <c r="I350" s="67">
        <v>9.06E-2</v>
      </c>
      <c r="J350" s="61" t="s">
        <v>37</v>
      </c>
      <c r="K350" s="66" t="s">
        <v>1008</v>
      </c>
      <c r="L350" s="69">
        <v>3</v>
      </c>
      <c r="M350" s="69" t="b">
        <v>1</v>
      </c>
      <c r="N350" s="69" t="b">
        <v>0</v>
      </c>
      <c r="O350" s="77" t="s">
        <v>1009</v>
      </c>
    </row>
    <row r="351" spans="1:15" ht="47.65" thickBot="1">
      <c r="A351" s="108"/>
      <c r="B351" s="112"/>
      <c r="C351" s="116"/>
      <c r="D351" s="119"/>
      <c r="E351" s="122"/>
      <c r="F351" s="125"/>
      <c r="G351" s="82" t="s">
        <v>1046</v>
      </c>
      <c r="H351" s="79" t="s">
        <v>1047</v>
      </c>
      <c r="I351" s="89">
        <v>0</v>
      </c>
      <c r="J351" s="82" t="s">
        <v>37</v>
      </c>
      <c r="K351" s="79" t="s">
        <v>1048</v>
      </c>
      <c r="L351" s="83">
        <v>3</v>
      </c>
      <c r="M351" s="83" t="b">
        <v>1</v>
      </c>
      <c r="N351" s="83" t="b">
        <v>0</v>
      </c>
      <c r="O351" s="78" t="s">
        <v>1009</v>
      </c>
    </row>
  </sheetData>
  <mergeCells count="419">
    <mergeCell ref="I5:I7"/>
    <mergeCell ref="J5:J7"/>
    <mergeCell ref="D8:D12"/>
    <mergeCell ref="E8:E12"/>
    <mergeCell ref="F8:F12"/>
    <mergeCell ref="D2:D4"/>
    <mergeCell ref="E2:E4"/>
    <mergeCell ref="F2:F4"/>
    <mergeCell ref="D5:D7"/>
    <mergeCell ref="E5:E7"/>
    <mergeCell ref="F5:F7"/>
    <mergeCell ref="D13:D16"/>
    <mergeCell ref="E13:E16"/>
    <mergeCell ref="F13:F16"/>
    <mergeCell ref="A17:A37"/>
    <mergeCell ref="B17:B37"/>
    <mergeCell ref="C17:C37"/>
    <mergeCell ref="D17:D21"/>
    <mergeCell ref="G5:G7"/>
    <mergeCell ref="H5:H7"/>
    <mergeCell ref="A2:A16"/>
    <mergeCell ref="B2:B16"/>
    <mergeCell ref="C2:C16"/>
    <mergeCell ref="G31:G33"/>
    <mergeCell ref="H31:H33"/>
    <mergeCell ref="J17:J19"/>
    <mergeCell ref="D22:D25"/>
    <mergeCell ref="E22:E25"/>
    <mergeCell ref="F22:F25"/>
    <mergeCell ref="G23:G25"/>
    <mergeCell ref="H23:H25"/>
    <mergeCell ref="I23:I25"/>
    <mergeCell ref="J23:J25"/>
    <mergeCell ref="E17:E21"/>
    <mergeCell ref="F17:F21"/>
    <mergeCell ref="G17:G19"/>
    <mergeCell ref="H17:H19"/>
    <mergeCell ref="I17:I19"/>
    <mergeCell ref="I31:I33"/>
    <mergeCell ref="J31:J33"/>
    <mergeCell ref="D34:D37"/>
    <mergeCell ref="E34:E37"/>
    <mergeCell ref="F34:F37"/>
    <mergeCell ref="D26:D30"/>
    <mergeCell ref="E26:E30"/>
    <mergeCell ref="F26:F30"/>
    <mergeCell ref="D31:D33"/>
    <mergeCell ref="E31:E33"/>
    <mergeCell ref="F31:F33"/>
    <mergeCell ref="J43:J45"/>
    <mergeCell ref="D46:D52"/>
    <mergeCell ref="E46:E52"/>
    <mergeCell ref="F46:F52"/>
    <mergeCell ref="A53:A70"/>
    <mergeCell ref="B53:B70"/>
    <mergeCell ref="C53:C70"/>
    <mergeCell ref="I38:I40"/>
    <mergeCell ref="J38:J40"/>
    <mergeCell ref="D43:D45"/>
    <mergeCell ref="E43:E45"/>
    <mergeCell ref="F43:F45"/>
    <mergeCell ref="G43:G45"/>
    <mergeCell ref="H43:H45"/>
    <mergeCell ref="I43:I45"/>
    <mergeCell ref="D38:D42"/>
    <mergeCell ref="E38:E42"/>
    <mergeCell ref="F38:F42"/>
    <mergeCell ref="G38:G40"/>
    <mergeCell ref="H38:H40"/>
    <mergeCell ref="A38:A52"/>
    <mergeCell ref="B38:B52"/>
    <mergeCell ref="C38:C52"/>
    <mergeCell ref="H53:H55"/>
    <mergeCell ref="I53:I55"/>
    <mergeCell ref="J53:J55"/>
    <mergeCell ref="G56:G58"/>
    <mergeCell ref="H56:H58"/>
    <mergeCell ref="I56:I58"/>
    <mergeCell ref="J56:J58"/>
    <mergeCell ref="D53:D59"/>
    <mergeCell ref="E53:E59"/>
    <mergeCell ref="F53:F59"/>
    <mergeCell ref="G53:G55"/>
    <mergeCell ref="H60:H62"/>
    <mergeCell ref="I60:I62"/>
    <mergeCell ref="J60:J62"/>
    <mergeCell ref="D63:D67"/>
    <mergeCell ref="E63:E67"/>
    <mergeCell ref="F63:F67"/>
    <mergeCell ref="D60:D62"/>
    <mergeCell ref="E60:E62"/>
    <mergeCell ref="F60:F62"/>
    <mergeCell ref="G60:G62"/>
    <mergeCell ref="H68:H70"/>
    <mergeCell ref="A71:A103"/>
    <mergeCell ref="B71:B103"/>
    <mergeCell ref="C71:C103"/>
    <mergeCell ref="D71:D75"/>
    <mergeCell ref="E71:E75"/>
    <mergeCell ref="F71:F75"/>
    <mergeCell ref="D68:D70"/>
    <mergeCell ref="E68:E70"/>
    <mergeCell ref="F68:F70"/>
    <mergeCell ref="G68:G70"/>
    <mergeCell ref="G76:G78"/>
    <mergeCell ref="H76:H78"/>
    <mergeCell ref="I76:I78"/>
    <mergeCell ref="J76:J78"/>
    <mergeCell ref="D79:D82"/>
    <mergeCell ref="E79:E82"/>
    <mergeCell ref="F79:F82"/>
    <mergeCell ref="G72:G74"/>
    <mergeCell ref="H72:H74"/>
    <mergeCell ref="I72:I74"/>
    <mergeCell ref="J72:J74"/>
    <mergeCell ref="D76:D78"/>
    <mergeCell ref="E76:E78"/>
    <mergeCell ref="F76:F78"/>
    <mergeCell ref="I86:I94"/>
    <mergeCell ref="J86:J94"/>
    <mergeCell ref="D95:D103"/>
    <mergeCell ref="E95:E103"/>
    <mergeCell ref="F95:F103"/>
    <mergeCell ref="H83:H85"/>
    <mergeCell ref="I83:I85"/>
    <mergeCell ref="J83:J85"/>
    <mergeCell ref="D86:D94"/>
    <mergeCell ref="E86:E94"/>
    <mergeCell ref="F86:F94"/>
    <mergeCell ref="G86:G94"/>
    <mergeCell ref="H86:H94"/>
    <mergeCell ref="D83:D85"/>
    <mergeCell ref="E83:E85"/>
    <mergeCell ref="F83:F85"/>
    <mergeCell ref="G83:G85"/>
    <mergeCell ref="I104:I106"/>
    <mergeCell ref="J104:J106"/>
    <mergeCell ref="D109:D112"/>
    <mergeCell ref="E109:E112"/>
    <mergeCell ref="F109:F112"/>
    <mergeCell ref="G110:G112"/>
    <mergeCell ref="H110:H112"/>
    <mergeCell ref="I110:I112"/>
    <mergeCell ref="D104:D108"/>
    <mergeCell ref="E104:E108"/>
    <mergeCell ref="F104:F108"/>
    <mergeCell ref="G104:G106"/>
    <mergeCell ref="H104:H106"/>
    <mergeCell ref="D120:D125"/>
    <mergeCell ref="E120:E125"/>
    <mergeCell ref="F120:F125"/>
    <mergeCell ref="A126:A146"/>
    <mergeCell ref="B126:B146"/>
    <mergeCell ref="C126:C146"/>
    <mergeCell ref="D126:D130"/>
    <mergeCell ref="J110:J112"/>
    <mergeCell ref="D113:D117"/>
    <mergeCell ref="E113:E117"/>
    <mergeCell ref="F113:F117"/>
    <mergeCell ref="D118:D119"/>
    <mergeCell ref="E118:E119"/>
    <mergeCell ref="F118:F119"/>
    <mergeCell ref="A104:A125"/>
    <mergeCell ref="B104:B125"/>
    <mergeCell ref="C104:C125"/>
    <mergeCell ref="J126:J128"/>
    <mergeCell ref="D131:D136"/>
    <mergeCell ref="E131:E136"/>
    <mergeCell ref="F131:F136"/>
    <mergeCell ref="D137:D139"/>
    <mergeCell ref="E137:E139"/>
    <mergeCell ref="F137:F139"/>
    <mergeCell ref="E126:E130"/>
    <mergeCell ref="F126:F130"/>
    <mergeCell ref="G126:G128"/>
    <mergeCell ref="H126:H128"/>
    <mergeCell ref="I126:I128"/>
    <mergeCell ref="A147:A168"/>
    <mergeCell ref="B147:B168"/>
    <mergeCell ref="C147:C168"/>
    <mergeCell ref="G137:G139"/>
    <mergeCell ref="H137:H139"/>
    <mergeCell ref="I137:I139"/>
    <mergeCell ref="J137:J139"/>
    <mergeCell ref="I147:I149"/>
    <mergeCell ref="J147:J149"/>
    <mergeCell ref="D151:D159"/>
    <mergeCell ref="E151:E159"/>
    <mergeCell ref="F151:F159"/>
    <mergeCell ref="D147:D150"/>
    <mergeCell ref="E147:E150"/>
    <mergeCell ref="F147:F150"/>
    <mergeCell ref="G147:G149"/>
    <mergeCell ref="H147:H149"/>
    <mergeCell ref="F140:F144"/>
    <mergeCell ref="E140:E144"/>
    <mergeCell ref="D140:D144"/>
    <mergeCell ref="D145:D146"/>
    <mergeCell ref="E145:E146"/>
    <mergeCell ref="F145:F146"/>
    <mergeCell ref="G145:G146"/>
    <mergeCell ref="H145:H146"/>
    <mergeCell ref="I145:I146"/>
    <mergeCell ref="J145:J146"/>
    <mergeCell ref="J163:J165"/>
    <mergeCell ref="D166:D168"/>
    <mergeCell ref="E166:E168"/>
    <mergeCell ref="F166:F168"/>
    <mergeCell ref="G166:G168"/>
    <mergeCell ref="H166:H168"/>
    <mergeCell ref="I166:I168"/>
    <mergeCell ref="J166:J168"/>
    <mergeCell ref="I160:I162"/>
    <mergeCell ref="J160:J162"/>
    <mergeCell ref="D163:D165"/>
    <mergeCell ref="E163:E165"/>
    <mergeCell ref="F163:F165"/>
    <mergeCell ref="G163:G165"/>
    <mergeCell ref="H163:H165"/>
    <mergeCell ref="I163:I165"/>
    <mergeCell ref="D160:D162"/>
    <mergeCell ref="E160:E162"/>
    <mergeCell ref="F160:F162"/>
    <mergeCell ref="G160:G162"/>
    <mergeCell ref="H160:H162"/>
    <mergeCell ref="F181:F185"/>
    <mergeCell ref="G181:G183"/>
    <mergeCell ref="H181:H183"/>
    <mergeCell ref="I181:I183"/>
    <mergeCell ref="J181:J183"/>
    <mergeCell ref="I172:I180"/>
    <mergeCell ref="J172:J180"/>
    <mergeCell ref="A181:A209"/>
    <mergeCell ref="B181:B209"/>
    <mergeCell ref="C181:C209"/>
    <mergeCell ref="D181:D185"/>
    <mergeCell ref="E181:E185"/>
    <mergeCell ref="D172:D180"/>
    <mergeCell ref="E172:E180"/>
    <mergeCell ref="F172:F180"/>
    <mergeCell ref="G172:G180"/>
    <mergeCell ref="H172:H180"/>
    <mergeCell ref="A169:A180"/>
    <mergeCell ref="B169:B180"/>
    <mergeCell ref="C169:C180"/>
    <mergeCell ref="I189:I191"/>
    <mergeCell ref="J189:J191"/>
    <mergeCell ref="D192:D194"/>
    <mergeCell ref="E192:E194"/>
    <mergeCell ref="F192:F194"/>
    <mergeCell ref="G192:G194"/>
    <mergeCell ref="H192:H194"/>
    <mergeCell ref="I192:I194"/>
    <mergeCell ref="H186:H188"/>
    <mergeCell ref="I186:I188"/>
    <mergeCell ref="J186:J188"/>
    <mergeCell ref="D189:D191"/>
    <mergeCell ref="E189:E191"/>
    <mergeCell ref="F189:F191"/>
    <mergeCell ref="G189:G191"/>
    <mergeCell ref="H189:H191"/>
    <mergeCell ref="D186:D188"/>
    <mergeCell ref="E186:E188"/>
    <mergeCell ref="F186:F188"/>
    <mergeCell ref="G186:G188"/>
    <mergeCell ref="D198:D209"/>
    <mergeCell ref="E198:E209"/>
    <mergeCell ref="F198:F209"/>
    <mergeCell ref="A210:A232"/>
    <mergeCell ref="B210:B232"/>
    <mergeCell ref="C210:C232"/>
    <mergeCell ref="J192:J194"/>
    <mergeCell ref="D195:D197"/>
    <mergeCell ref="E195:E197"/>
    <mergeCell ref="F195:F197"/>
    <mergeCell ref="G195:G197"/>
    <mergeCell ref="H195:H197"/>
    <mergeCell ref="I195:I197"/>
    <mergeCell ref="J195:J197"/>
    <mergeCell ref="I210:I212"/>
    <mergeCell ref="J210:J212"/>
    <mergeCell ref="D215:D220"/>
    <mergeCell ref="E215:E220"/>
    <mergeCell ref="F215:F220"/>
    <mergeCell ref="D210:D214"/>
    <mergeCell ref="E210:E214"/>
    <mergeCell ref="F210:F214"/>
    <mergeCell ref="G210:G212"/>
    <mergeCell ref="H210:H212"/>
    <mergeCell ref="H221:H223"/>
    <mergeCell ref="I221:I223"/>
    <mergeCell ref="J221:J223"/>
    <mergeCell ref="D224:D232"/>
    <mergeCell ref="E224:E232"/>
    <mergeCell ref="F224:F232"/>
    <mergeCell ref="D221:D223"/>
    <mergeCell ref="E221:E223"/>
    <mergeCell ref="F221:F223"/>
    <mergeCell ref="G221:G223"/>
    <mergeCell ref="I233:I235"/>
    <mergeCell ref="J233:J235"/>
    <mergeCell ref="D238:D244"/>
    <mergeCell ref="E238:E244"/>
    <mergeCell ref="F238:F244"/>
    <mergeCell ref="D233:D237"/>
    <mergeCell ref="E233:E237"/>
    <mergeCell ref="F233:F237"/>
    <mergeCell ref="G233:G235"/>
    <mergeCell ref="H233:H235"/>
    <mergeCell ref="F250:F254"/>
    <mergeCell ref="G250:G252"/>
    <mergeCell ref="H250:H252"/>
    <mergeCell ref="I250:I252"/>
    <mergeCell ref="J250:J252"/>
    <mergeCell ref="I246:I248"/>
    <mergeCell ref="J246:J248"/>
    <mergeCell ref="A250:A265"/>
    <mergeCell ref="B250:B265"/>
    <mergeCell ref="C250:C265"/>
    <mergeCell ref="D250:D254"/>
    <mergeCell ref="E250:E254"/>
    <mergeCell ref="D245:D248"/>
    <mergeCell ref="E245:E248"/>
    <mergeCell ref="F245:F248"/>
    <mergeCell ref="G246:G248"/>
    <mergeCell ref="H246:H248"/>
    <mergeCell ref="A233:A249"/>
    <mergeCell ref="B233:B249"/>
    <mergeCell ref="C233:C249"/>
    <mergeCell ref="I256:I258"/>
    <mergeCell ref="J256:J258"/>
    <mergeCell ref="D259:D263"/>
    <mergeCell ref="E259:E263"/>
    <mergeCell ref="H256:H258"/>
    <mergeCell ref="D271:D273"/>
    <mergeCell ref="E271:E273"/>
    <mergeCell ref="F271:F273"/>
    <mergeCell ref="D274:D277"/>
    <mergeCell ref="E274:E277"/>
    <mergeCell ref="F274:F277"/>
    <mergeCell ref="D266:D270"/>
    <mergeCell ref="E266:E270"/>
    <mergeCell ref="F266:F270"/>
    <mergeCell ref="F259:F263"/>
    <mergeCell ref="D255:D258"/>
    <mergeCell ref="E255:E258"/>
    <mergeCell ref="F255:F258"/>
    <mergeCell ref="G256:G258"/>
    <mergeCell ref="G266:G268"/>
    <mergeCell ref="H266:H268"/>
    <mergeCell ref="D264:D265"/>
    <mergeCell ref="E264:E265"/>
    <mergeCell ref="F264:F265"/>
    <mergeCell ref="A286:A304"/>
    <mergeCell ref="B286:B304"/>
    <mergeCell ref="C286:C304"/>
    <mergeCell ref="D278:D280"/>
    <mergeCell ref="E278:E280"/>
    <mergeCell ref="F278:F280"/>
    <mergeCell ref="D281:D285"/>
    <mergeCell ref="E281:E285"/>
    <mergeCell ref="F281:F285"/>
    <mergeCell ref="D297:D301"/>
    <mergeCell ref="E297:E301"/>
    <mergeCell ref="F297:F301"/>
    <mergeCell ref="D302:D304"/>
    <mergeCell ref="E302:E304"/>
    <mergeCell ref="F302:F304"/>
    <mergeCell ref="A266:A285"/>
    <mergeCell ref="B266:B285"/>
    <mergeCell ref="C266:C285"/>
    <mergeCell ref="I286:I288"/>
    <mergeCell ref="J286:J288"/>
    <mergeCell ref="D291:D296"/>
    <mergeCell ref="E291:E296"/>
    <mergeCell ref="F291:F296"/>
    <mergeCell ref="D286:D290"/>
    <mergeCell ref="E286:E290"/>
    <mergeCell ref="F286:F290"/>
    <mergeCell ref="G286:G288"/>
    <mergeCell ref="H286:H288"/>
    <mergeCell ref="I305:I307"/>
    <mergeCell ref="J305:J307"/>
    <mergeCell ref="D310:D316"/>
    <mergeCell ref="E310:E316"/>
    <mergeCell ref="F310:F316"/>
    <mergeCell ref="D305:D309"/>
    <mergeCell ref="E305:E309"/>
    <mergeCell ref="F305:F309"/>
    <mergeCell ref="G305:G307"/>
    <mergeCell ref="H305:H307"/>
    <mergeCell ref="D317:D320"/>
    <mergeCell ref="E317:E320"/>
    <mergeCell ref="F317:F320"/>
    <mergeCell ref="D321:D323"/>
    <mergeCell ref="E321:E323"/>
    <mergeCell ref="F321:F323"/>
    <mergeCell ref="A305:A323"/>
    <mergeCell ref="B305:B323"/>
    <mergeCell ref="C305:C323"/>
    <mergeCell ref="F324:F325"/>
    <mergeCell ref="D326:D330"/>
    <mergeCell ref="E326:E330"/>
    <mergeCell ref="F326:F330"/>
    <mergeCell ref="G321:G323"/>
    <mergeCell ref="H321:H323"/>
    <mergeCell ref="I321:I323"/>
    <mergeCell ref="J321:J323"/>
    <mergeCell ref="A324:A351"/>
    <mergeCell ref="B324:B351"/>
    <mergeCell ref="C324:C351"/>
    <mergeCell ref="D331:D347"/>
    <mergeCell ref="E331:E347"/>
    <mergeCell ref="F331:F347"/>
    <mergeCell ref="D348:D351"/>
    <mergeCell ref="E348:E351"/>
    <mergeCell ref="F348:F351"/>
    <mergeCell ref="D324:D325"/>
    <mergeCell ref="E324:E325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0661CB259F7D4F8211EC70A4C73118" ma:contentTypeVersion="23" ma:contentTypeDescription="Create a new document." ma:contentTypeScope="" ma:versionID="1de87d2960e4722934bb41d7d21cfe23">
  <xsd:schema xmlns:xsd="http://www.w3.org/2001/XMLSchema" xmlns:xs="http://www.w3.org/2001/XMLSchema" xmlns:p="http://schemas.microsoft.com/office/2006/metadata/properties" xmlns:ns2="1795f2d0-3c60-4130-b004-5f04ef3bda6f" xmlns:ns3="7a82b365-f1d9-44fe-bbab-7a6990910af6" targetNamespace="http://schemas.microsoft.com/office/2006/metadata/properties" ma:root="true" ma:fieldsID="f644a786fb230284b75cd46a1b1ac4da" ns2:_="" ns3:_="">
    <xsd:import namespace="1795f2d0-3c60-4130-b004-5f04ef3bda6f"/>
    <xsd:import namespace="7a82b365-f1d9-44fe-bbab-7a6990910a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Description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f2d0-3c60-4130-b004-5f04ef3bda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Description" ma:index="18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9f7fe52-4cf0-4ac8-9b4d-b191edad3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ranslatedLang" ma:index="28" nillable="true" ma:displayName="Translated Language" ma:internalName="TranslatedLang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2b365-f1d9-44fe-bbab-7a6990910af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d2c03c-896a-40c2-a2c0-4b8fe2b8ef8c}" ma:internalName="TaxCatchAll" ma:showField="CatchAllData" ma:web="7a82b365-f1d9-44fe-bbab-7a6990910a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1795f2d0-3c60-4130-b004-5f04ef3bda6f" xsi:nil="true"/>
    <_Flow_SignoffStatus xmlns="1795f2d0-3c60-4130-b004-5f04ef3bda6f" xsi:nil="true"/>
    <lcf76f155ced4ddcb4097134ff3c332f xmlns="1795f2d0-3c60-4130-b004-5f04ef3bda6f">
      <Terms xmlns="http://schemas.microsoft.com/office/infopath/2007/PartnerControls"/>
    </lcf76f155ced4ddcb4097134ff3c332f>
    <TaxCatchAll xmlns="7a82b365-f1d9-44fe-bbab-7a6990910af6" xsi:nil="true"/>
    <TranslatedLang xmlns="1795f2d0-3c60-4130-b004-5f04ef3bda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730A5F-6A4B-42D4-B737-75077379A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5f2d0-3c60-4130-b004-5f04ef3bda6f"/>
    <ds:schemaRef ds:uri="7a82b365-f1d9-44fe-bbab-7a6990910a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4DE1CB-5CFD-4480-A86F-573EBAA35EF4}">
  <ds:schemaRefs>
    <ds:schemaRef ds:uri="http://schemas.microsoft.com/office/2006/metadata/properties"/>
    <ds:schemaRef ds:uri="http://schemas.microsoft.com/office/infopath/2007/PartnerControls"/>
    <ds:schemaRef ds:uri="1795f2d0-3c60-4130-b004-5f04ef3bda6f"/>
    <ds:schemaRef ds:uri="7a82b365-f1d9-44fe-bbab-7a6990910af6"/>
  </ds:schemaRefs>
</ds:datastoreItem>
</file>

<file path=customXml/itemProps3.xml><?xml version="1.0" encoding="utf-8"?>
<ds:datastoreItem xmlns:ds="http://schemas.openxmlformats.org/officeDocument/2006/customXml" ds:itemID="{7C0DFF9F-7055-41CF-BC04-B83C13858E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Syd Syd</cp:lastModifiedBy>
  <cp:revision/>
  <dcterms:created xsi:type="dcterms:W3CDTF">2021-08-02T13:29:57Z</dcterms:created>
  <dcterms:modified xsi:type="dcterms:W3CDTF">2026-07-31T02:40:43Z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0x010100500661CB259F7D4F8211EC70A4C73118</vt:lpwstr>
  </property>
  <property fmtid="{D5CDD505-2E9C-101B-9397-08002B2CF9AE}" pid="3" name="MediaServiceImageTags">
    <vt:lpwstr/>
  </property>
</Properties>
</file>